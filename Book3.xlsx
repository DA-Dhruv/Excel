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6\Desktop\DA-18-Dhruv\"/>
    </mc:Choice>
  </mc:AlternateContent>
  <xr:revisionPtr revIDLastSave="0" documentId="8_{6EEC7893-8BA0-4998-8E71-82A5522AC601}" xr6:coauthVersionLast="47" xr6:coauthVersionMax="47" xr10:uidLastSave="{00000000-0000-0000-0000-000000000000}"/>
  <bookViews>
    <workbookView xWindow="-110" yWindow="-110" windowWidth="19420" windowHeight="10300" activeTab="5" xr2:uid="{58BE87FB-C039-4EF3-8EE8-5AB1E5391C1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2" i="6"/>
  <c r="E3" i="6"/>
  <c r="E4" i="6"/>
  <c r="E2" i="6"/>
  <c r="D3" i="6"/>
  <c r="D4" i="6"/>
  <c r="D2" i="6"/>
  <c r="H3" i="5"/>
  <c r="H4" i="5"/>
  <c r="H5" i="5"/>
  <c r="H2" i="5"/>
  <c r="D3" i="5"/>
  <c r="D4" i="5"/>
  <c r="D5" i="5"/>
  <c r="D2" i="5"/>
  <c r="G3" i="5"/>
  <c r="G4" i="5"/>
  <c r="G5" i="5"/>
  <c r="G2" i="5"/>
  <c r="F3" i="3"/>
  <c r="F4" i="3"/>
  <c r="F5" i="3"/>
  <c r="F2" i="3"/>
  <c r="E3" i="3"/>
  <c r="E4" i="3"/>
  <c r="E5" i="3"/>
  <c r="E2" i="3"/>
  <c r="C3" i="2"/>
  <c r="C4" i="2"/>
  <c r="C5" i="2"/>
  <c r="C2" i="2"/>
  <c r="G3" i="2"/>
  <c r="G4" i="2"/>
  <c r="G5" i="2"/>
  <c r="G2" i="2"/>
  <c r="H3" i="1"/>
  <c r="H4" i="1"/>
  <c r="H5" i="1"/>
  <c r="H2" i="1"/>
  <c r="G2" i="1"/>
  <c r="G3" i="1"/>
  <c r="G4" i="1"/>
  <c r="G5" i="1"/>
</calcChain>
</file>

<file path=xl/sharedStrings.xml><?xml version="1.0" encoding="utf-8"?>
<sst xmlns="http://schemas.openxmlformats.org/spreadsheetml/2006/main" count="111" uniqueCount="94">
  <si>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</si>
  <si>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</si>
  <si>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</si>
  <si>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</si>
  <si>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</si>
  <si>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</si>
  <si>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</si>
  <si>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</si>
  <si>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</si>
  <si>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</si>
  <si>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</si>
  <si>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</si>
  <si>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</si>
  <si>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</si>
  <si>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</si>
  <si>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</si>
  <si>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</si>
  <si>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</si>
  <si>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</si>
  <si>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</si>
  <si>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</si>
  <si>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Amount</t>
  </si>
  <si>
    <t>Order Catrgory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</si>
  <si>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</si>
  <si>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</si>
  <si>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</si>
  <si>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</si>
  <si>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</si>
  <si>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</si>
  <si>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</si>
  <si>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</si>
  <si>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</si>
  <si>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</si>
  <si>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</si>
  <si>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</si>
  <si>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</si>
  <si>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</si>
  <si>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</si>
  <si>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</si>
  <si>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</si>
  <si>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</si>
  <si>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Age Category</t>
  </si>
  <si>
    <t>Proper Name</t>
  </si>
  <si>
    <t>Movie</t>
  </si>
  <si>
    <t>Seats</t>
  </si>
  <si>
    <t>Ticket Price</t>
  </si>
  <si>
    <t>Avengers</t>
  </si>
  <si>
    <t>Superman</t>
  </si>
  <si>
    <t>Avatar</t>
  </si>
  <si>
    <t>Jurassic World</t>
  </si>
  <si>
    <t>Total bill</t>
  </si>
  <si>
    <t>Discount Status</t>
  </si>
  <si>
    <t>Booking ID</t>
  </si>
  <si>
    <t>AM-1</t>
  </si>
  <si>
    <t>AM-2</t>
  </si>
  <si>
    <t>AM-3</t>
  </si>
  <si>
    <t>AM-4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</si>
  <si>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</si>
  <si>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</si>
  <si>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</si>
  <si>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</si>
  <si>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</si>
  <si>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</si>
  <si>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</si>
  <si>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</si>
  <si>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</si>
  <si>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</si>
  <si>
    <t>Table</t>
  </si>
  <si>
    <t>Food Item</t>
  </si>
  <si>
    <t>Price</t>
  </si>
  <si>
    <t>T1</t>
  </si>
  <si>
    <t>Pizza</t>
  </si>
  <si>
    <t>T2</t>
  </si>
  <si>
    <t>Burger</t>
  </si>
  <si>
    <t>T3</t>
  </si>
  <si>
    <t>Pasta</t>
  </si>
  <si>
    <t>T4</t>
  </si>
  <si>
    <t>Total Bill</t>
  </si>
  <si>
    <t>Invoice Number</t>
  </si>
  <si>
    <t>Passenger</t>
  </si>
  <si>
    <t>Passport No</t>
  </si>
  <si>
    <t>Destination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</si>
  <si>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</si>
  <si>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</si>
  <si>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</si>
  <si>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</si>
  <si>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</si>
  <si>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</si>
  <si>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</si>
  <si>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</si>
  <si>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</si>
  <si>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First Name</t>
  </si>
  <si>
    <t>Last Name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</si>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</sst>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44" fontId="3" fillId="2" borderId="1" xfId="1" applyFont="1" applyFill="1" applyBorder="1" applyAlignment="1">
      <alignment horizontal="right" vertical="center" wrapText="1"/>
    </xf>
    <xf numFmtId="44" fontId="3" fillId="3" borderId="1" xfId="1" applyFont="1" applyFill="1" applyBorder="1" applyAlignment="1">
      <alignment horizontal="right" vertical="center" wrapText="1"/>
    </xf>
    <xf numFmtId="44" fontId="0" fillId="0" borderId="1" xfId="0" applyNumberFormat="1" applyFont="1" applyBorder="1"/>
    <xf numFmtId="0" fontId="0" fillId="0" borderId="1" xfId="0" applyFont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0" fillId="5" borderId="1" xfId="0" applyFill="1" applyBorder="1"/>
    <xf numFmtId="0" fontId="0" fillId="4" borderId="1" xfId="0" applyFill="1" applyBorder="1"/>
    <xf numFmtId="16" fontId="3" fillId="2" borderId="0" xfId="0" applyNumberFormat="1" applyFont="1" applyFill="1" applyAlignment="1">
      <alignment vertical="center" wrapText="1"/>
    </xf>
    <xf numFmtId="16" fontId="3" fillId="3" borderId="0" xfId="0" applyNumberFormat="1" applyFont="1" applyFill="1" applyAlignment="1">
      <alignment vertical="center" wrapText="1"/>
    </xf>
  </cellXfs>
  <cellStyles count="2">
    <cellStyle name="Currency" xfId="1" builtinId="4"/>
    <cellStyle name="Normal" xfId="0" builtinId="0"/>
  </cellStyles>
  <dxfs count="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81EE-6A9A-479E-8EA7-FFF4DA3ED4FB}">
  <dimension ref="A1:H5"/>
  <sheetViews>
    <sheetView workbookViewId="0">
      <selection activeCell="G2" sqref="G2"/>
    </sheetView>
  </sheetViews>
  <sheetFormatPr defaultRowHeight="14.5" x14ac:dyDescent="0.35"/>
  <cols>
    <col min="1" max="1" width="7" bestFit="1" customWidth="1"/>
    <col min="2" max="2" width="7.7265625" bestFit="1" customWidth="1"/>
    <col min="3" max="3" width="6.81640625" bestFit="1" customWidth="1"/>
    <col min="4" max="4" width="3.36328125" bestFit="1" customWidth="1"/>
    <col min="5" max="5" width="9" bestFit="1" customWidth="1"/>
    <col min="6" max="6" width="6.90625" bestFit="1" customWidth="1"/>
    <col min="7" max="7" width="11.1796875" bestFit="1" customWidth="1"/>
    <col min="8" max="8" width="11.453125" customWidth="1"/>
  </cols>
  <sheetData>
    <row r="1" spans="1:8" ht="23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  <c r="G1" s="11" t="s">
        <v>21</v>
      </c>
      <c r="H1" s="11" t="s">
        <v>22</v>
      </c>
    </row>
    <row r="2" spans="1:8" x14ac:dyDescent="0.35">
      <c r="A2" s="7" t="s">
        <v>6</v>
      </c>
      <c r="B2" s="7" t="s">
        <v>7</v>
      </c>
      <c r="C2" s="7" t="s">
        <v>8</v>
      </c>
      <c r="D2" s="8">
        <v>2</v>
      </c>
      <c r="E2" s="13">
        <v>45000</v>
      </c>
      <c r="F2" s="7" t="s">
        <v>9</v>
      </c>
      <c r="G2" s="15">
        <f>E2*D2</f>
        <v>90000</v>
      </c>
      <c r="H2" s="16" t="str">
        <f>IF(G2&gt;50000,"High Value","Normal")</f>
        <v>High Value</v>
      </c>
    </row>
    <row r="3" spans="1:8" x14ac:dyDescent="0.35">
      <c r="A3" s="9" t="s">
        <v>10</v>
      </c>
      <c r="B3" s="9" t="s">
        <v>11</v>
      </c>
      <c r="C3" s="9" t="s">
        <v>12</v>
      </c>
      <c r="D3" s="10">
        <v>5</v>
      </c>
      <c r="E3" s="14">
        <v>700</v>
      </c>
      <c r="F3" s="9" t="s">
        <v>13</v>
      </c>
      <c r="G3" s="15">
        <f t="shared" ref="G3:G5" si="0">E3*D3</f>
        <v>3500</v>
      </c>
      <c r="H3" s="16" t="str">
        <f t="shared" ref="H3:H5" si="1">IF(G3&gt;50000,"High Value","Normal")</f>
        <v>Normal</v>
      </c>
    </row>
    <row r="4" spans="1:8" x14ac:dyDescent="0.35">
      <c r="A4" s="7" t="s">
        <v>14</v>
      </c>
      <c r="B4" s="7" t="s">
        <v>15</v>
      </c>
      <c r="C4" s="7" t="s">
        <v>16</v>
      </c>
      <c r="D4" s="8">
        <v>3</v>
      </c>
      <c r="E4" s="13">
        <v>1500</v>
      </c>
      <c r="F4" s="7" t="s">
        <v>9</v>
      </c>
      <c r="G4" s="15">
        <f t="shared" si="0"/>
        <v>4500</v>
      </c>
      <c r="H4" s="16" t="str">
        <f t="shared" si="1"/>
        <v>Normal</v>
      </c>
    </row>
    <row r="5" spans="1:8" x14ac:dyDescent="0.35">
      <c r="A5" s="9" t="s">
        <v>17</v>
      </c>
      <c r="B5" s="9" t="s">
        <v>18</v>
      </c>
      <c r="C5" s="9" t="s">
        <v>19</v>
      </c>
      <c r="D5" s="10">
        <v>1</v>
      </c>
      <c r="E5" s="14">
        <v>18000</v>
      </c>
      <c r="F5" s="9" t="s">
        <v>20</v>
      </c>
      <c r="G5" s="15">
        <f t="shared" si="0"/>
        <v>18000</v>
      </c>
      <c r="H5" s="16" t="str">
        <f t="shared" si="1"/>
        <v>Normal</v>
      </c>
    </row>
  </sheetData>
  <conditionalFormatting sqref="F2:F5">
    <cfRule type="containsText" dxfId="5" priority="6" operator="containsText" text="Cancelled">
      <formula>NOT(ISERROR(SEARCH("Cancelled",F2)))</formula>
    </cfRule>
    <cfRule type="containsText" priority="7" operator="containsText" text="Cancelled">
      <formula>NOT(ISERROR(SEARCH("Cancelled",F2)))</formula>
    </cfRule>
  </conditionalFormatting>
  <conditionalFormatting sqref="G2:G5">
    <cfRule type="colorScale" priority="4">
      <colorScale>
        <cfvo type="num" val="50000"/>
        <cfvo type="max"/>
        <color rgb="FFFCFCFF"/>
        <color rgb="FF63BE7B"/>
      </colorScale>
    </cfRule>
  </conditionalFormatting>
  <conditionalFormatting sqref="G2">
    <cfRule type="colorScale" priority="1">
      <colorScale>
        <cfvo type="num" val="50000"/>
        <cfvo type="max"/>
        <color theme="9"/>
        <color theme="7"/>
      </colorScale>
    </cfRule>
    <cfRule type="colorScale" priority="3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E23E-0F60-4322-9820-FCA550FEB222}">
  <dimension ref="A1:G5"/>
  <sheetViews>
    <sheetView workbookViewId="0">
      <selection activeCell="G11" sqref="G11"/>
    </sheetView>
  </sheetViews>
  <sheetFormatPr defaultRowHeight="14.5" x14ac:dyDescent="0.35"/>
  <cols>
    <col min="1" max="1" width="7.81640625" bestFit="1" customWidth="1"/>
    <col min="2" max="2" width="5" bestFit="1" customWidth="1"/>
    <col min="3" max="3" width="11" customWidth="1"/>
    <col min="4" max="4" width="3.54296875" bestFit="1" customWidth="1"/>
    <col min="5" max="5" width="6" bestFit="1" customWidth="1"/>
    <col min="6" max="6" width="7.90625" customWidth="1"/>
    <col min="7" max="7" width="12.08984375" bestFit="1" customWidth="1"/>
  </cols>
  <sheetData>
    <row r="1" spans="1:7" ht="34.5" x14ac:dyDescent="0.35">
      <c r="A1" s="11" t="s">
        <v>23</v>
      </c>
      <c r="B1" s="11" t="s">
        <v>24</v>
      </c>
      <c r="C1" s="11" t="s">
        <v>42</v>
      </c>
      <c r="D1" s="12" t="s">
        <v>25</v>
      </c>
      <c r="E1" s="11" t="s">
        <v>26</v>
      </c>
      <c r="F1" s="11" t="s">
        <v>27</v>
      </c>
      <c r="G1" s="11" t="s">
        <v>41</v>
      </c>
    </row>
    <row r="2" spans="1:7" x14ac:dyDescent="0.35">
      <c r="A2" s="17" t="s">
        <v>28</v>
      </c>
      <c r="B2" s="17" t="s">
        <v>29</v>
      </c>
      <c r="C2" s="17" t="str">
        <f>PROPER(B2)</f>
        <v>Rahul</v>
      </c>
      <c r="D2" s="18">
        <v>25</v>
      </c>
      <c r="E2" s="17" t="s">
        <v>30</v>
      </c>
      <c r="F2" s="17" t="s">
        <v>31</v>
      </c>
      <c r="G2" s="19" t="str">
        <f>IF(D2&lt;18,"minor",IF(D2&lt;60,"Adult",IF(D2&gt;=60,"Senior Citizen")))</f>
        <v>Adult</v>
      </c>
    </row>
    <row r="3" spans="1:7" x14ac:dyDescent="0.35">
      <c r="A3" s="17" t="s">
        <v>32</v>
      </c>
      <c r="B3" s="17" t="s">
        <v>33</v>
      </c>
      <c r="C3" s="17" t="str">
        <f t="shared" ref="C3:C5" si="0">PROPER(B3)</f>
        <v>Sneha</v>
      </c>
      <c r="D3" s="18">
        <v>62</v>
      </c>
      <c r="E3" s="17" t="s">
        <v>34</v>
      </c>
      <c r="F3" s="17" t="s">
        <v>35</v>
      </c>
      <c r="G3" s="19" t="str">
        <f t="shared" ref="G3:G5" si="1">IF(D3&lt;18,"minor",IF(D3&lt;60,"Adult",IF(D3&gt;=60,"Senior Citizen")))</f>
        <v>Senior Citizen</v>
      </c>
    </row>
    <row r="4" spans="1:7" x14ac:dyDescent="0.35">
      <c r="A4" s="17" t="s">
        <v>36</v>
      </c>
      <c r="B4" s="17" t="s">
        <v>15</v>
      </c>
      <c r="C4" s="17" t="str">
        <f t="shared" si="0"/>
        <v>Ravi</v>
      </c>
      <c r="D4" s="18">
        <v>70</v>
      </c>
      <c r="E4" s="17" t="s">
        <v>30</v>
      </c>
      <c r="F4" s="17" t="s">
        <v>37</v>
      </c>
      <c r="G4" s="19" t="str">
        <f t="shared" si="1"/>
        <v>Senior Citizen</v>
      </c>
    </row>
    <row r="5" spans="1:7" x14ac:dyDescent="0.35">
      <c r="A5" s="17" t="s">
        <v>38</v>
      </c>
      <c r="B5" s="17" t="s">
        <v>39</v>
      </c>
      <c r="C5" s="17" t="str">
        <f t="shared" si="0"/>
        <v>Meera</v>
      </c>
      <c r="D5" s="18">
        <v>15</v>
      </c>
      <c r="E5" s="17" t="s">
        <v>34</v>
      </c>
      <c r="F5" s="17" t="s">
        <v>40</v>
      </c>
      <c r="G5" s="19" t="str">
        <f t="shared" si="1"/>
        <v>minor</v>
      </c>
    </row>
  </sheetData>
  <conditionalFormatting sqref="D2:D5">
    <cfRule type="cellIs" dxfId="4" priority="1" operator="notBetween">
      <formula>18</formula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5597-D7AD-4427-835F-4532AA773F07}">
  <dimension ref="A1:G5"/>
  <sheetViews>
    <sheetView workbookViewId="0">
      <selection activeCell="F11" sqref="F11"/>
    </sheetView>
  </sheetViews>
  <sheetFormatPr defaultRowHeight="14.5" x14ac:dyDescent="0.35"/>
  <cols>
    <col min="1" max="1" width="7.7265625" bestFit="1" customWidth="1"/>
    <col min="2" max="2" width="7.36328125" bestFit="1" customWidth="1"/>
    <col min="3" max="3" width="4.6328125" bestFit="1" customWidth="1"/>
    <col min="4" max="4" width="5" bestFit="1" customWidth="1"/>
    <col min="5" max="5" width="7.90625" bestFit="1" customWidth="1"/>
    <col min="6" max="6" width="13.7265625" bestFit="1" customWidth="1"/>
  </cols>
  <sheetData>
    <row r="1" spans="1:7" ht="23" x14ac:dyDescent="0.35">
      <c r="A1" s="11" t="s">
        <v>1</v>
      </c>
      <c r="B1" s="11" t="s">
        <v>43</v>
      </c>
      <c r="C1" s="12" t="s">
        <v>44</v>
      </c>
      <c r="D1" s="12" t="s">
        <v>45</v>
      </c>
      <c r="E1" s="20" t="s">
        <v>50</v>
      </c>
      <c r="F1" s="20" t="s">
        <v>51</v>
      </c>
      <c r="G1" s="20" t="s">
        <v>52</v>
      </c>
    </row>
    <row r="2" spans="1:7" x14ac:dyDescent="0.35">
      <c r="A2" s="17" t="s">
        <v>7</v>
      </c>
      <c r="B2" s="17" t="s">
        <v>46</v>
      </c>
      <c r="C2" s="18">
        <v>2</v>
      </c>
      <c r="D2" s="18">
        <v>350</v>
      </c>
      <c r="E2" s="19">
        <f>D2*C2</f>
        <v>700</v>
      </c>
      <c r="F2" s="19" t="str">
        <f>IF(E2&gt;1000,"Elegible","Not eligible")</f>
        <v>Not eligible</v>
      </c>
      <c r="G2" s="19" t="s">
        <v>53</v>
      </c>
    </row>
    <row r="3" spans="1:7" x14ac:dyDescent="0.35">
      <c r="A3" s="17" t="s">
        <v>15</v>
      </c>
      <c r="B3" s="17" t="s">
        <v>47</v>
      </c>
      <c r="C3" s="18">
        <v>5</v>
      </c>
      <c r="D3" s="18">
        <v>280</v>
      </c>
      <c r="E3" s="19">
        <f t="shared" ref="E3:E5" si="0">D3*C3</f>
        <v>1400</v>
      </c>
      <c r="F3" s="19" t="str">
        <f t="shared" ref="F3:F5" si="1">IF(E3&gt;1000,"Elegible","Not eligible")</f>
        <v>Elegible</v>
      </c>
      <c r="G3" s="19" t="s">
        <v>54</v>
      </c>
    </row>
    <row r="4" spans="1:7" x14ac:dyDescent="0.35">
      <c r="A4" s="17" t="s">
        <v>11</v>
      </c>
      <c r="B4" s="17" t="s">
        <v>48</v>
      </c>
      <c r="C4" s="18">
        <v>3</v>
      </c>
      <c r="D4" s="18">
        <v>400</v>
      </c>
      <c r="E4" s="19">
        <f t="shared" si="0"/>
        <v>1200</v>
      </c>
      <c r="F4" s="19" t="str">
        <f t="shared" si="1"/>
        <v>Elegible</v>
      </c>
      <c r="G4" s="19" t="s">
        <v>55</v>
      </c>
    </row>
    <row r="5" spans="1:7" ht="23" x14ac:dyDescent="0.35">
      <c r="A5" s="17" t="s">
        <v>18</v>
      </c>
      <c r="B5" s="17" t="s">
        <v>49</v>
      </c>
      <c r="C5" s="18">
        <v>1</v>
      </c>
      <c r="D5" s="18">
        <v>500</v>
      </c>
      <c r="E5" s="19">
        <f t="shared" si="0"/>
        <v>500</v>
      </c>
      <c r="F5" s="19" t="str">
        <f t="shared" si="1"/>
        <v>Not eligible</v>
      </c>
      <c r="G5" s="19" t="s">
        <v>56</v>
      </c>
    </row>
  </sheetData>
  <conditionalFormatting sqref="H9">
    <cfRule type="cellIs" dxfId="3" priority="2" operator="greaterThan">
      <formula>1000</formula>
    </cfRule>
  </conditionalFormatting>
  <conditionalFormatting sqref="E2:E5">
    <cfRule type="cellIs" dxfId="2" priority="1" operator="greaterThan">
      <formula>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6FD6-29B8-40A1-90F9-860958ECA2EA}">
  <dimension ref="A1:D4"/>
  <sheetViews>
    <sheetView workbookViewId="0">
      <selection activeCell="F2" sqref="F2"/>
    </sheetView>
  </sheetViews>
  <sheetFormatPr defaultRowHeight="14.5" x14ac:dyDescent="0.35"/>
  <cols>
    <col min="1" max="1" width="6.36328125" bestFit="1" customWidth="1"/>
    <col min="2" max="2" width="12.6328125" customWidth="1"/>
    <col min="3" max="3" width="8.1796875" bestFit="1" customWidth="1"/>
    <col min="4" max="4" width="11.36328125" customWidth="1"/>
  </cols>
  <sheetData>
    <row r="1" spans="1:4" ht="23" x14ac:dyDescent="0.35">
      <c r="A1" s="1" t="s">
        <v>57</v>
      </c>
      <c r="B1" s="1" t="s">
        <v>58</v>
      </c>
      <c r="C1" s="1" t="s">
        <v>59</v>
      </c>
      <c r="D1" s="1" t="s">
        <v>60</v>
      </c>
    </row>
    <row r="2" spans="1:4" ht="23" x14ac:dyDescent="0.35">
      <c r="A2" s="3" t="s">
        <v>61</v>
      </c>
      <c r="B2" s="3" t="s">
        <v>62</v>
      </c>
      <c r="C2" s="21">
        <v>46204</v>
      </c>
      <c r="D2" s="21">
        <v>46211</v>
      </c>
    </row>
    <row r="3" spans="1:4" x14ac:dyDescent="0.35">
      <c r="A3" s="5" t="s">
        <v>63</v>
      </c>
      <c r="B3" s="5" t="s">
        <v>64</v>
      </c>
      <c r="C3" s="22">
        <v>46205</v>
      </c>
      <c r="D3" s="22">
        <v>46221</v>
      </c>
    </row>
    <row r="4" spans="1:4" x14ac:dyDescent="0.35">
      <c r="A4" s="3" t="s">
        <v>65</v>
      </c>
      <c r="B4" s="3" t="s">
        <v>66</v>
      </c>
      <c r="C4" s="21">
        <v>46208</v>
      </c>
      <c r="D4" s="21">
        <v>46215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C1A1-3264-41E9-8056-00BF1791B93B}">
  <dimension ref="A1:H5"/>
  <sheetViews>
    <sheetView workbookViewId="0">
      <selection activeCell="J10" sqref="J10"/>
    </sheetView>
  </sheetViews>
  <sheetFormatPr defaultRowHeight="14.5" x14ac:dyDescent="0.35"/>
  <sheetData>
    <row r="1" spans="1:8" ht="23" x14ac:dyDescent="0.35">
      <c r="A1" s="1" t="s">
        <v>67</v>
      </c>
      <c r="B1" s="1" t="s">
        <v>1</v>
      </c>
      <c r="C1" s="1" t="s">
        <v>68</v>
      </c>
      <c r="D1" s="1" t="s">
        <v>68</v>
      </c>
      <c r="E1" s="2" t="s">
        <v>3</v>
      </c>
      <c r="F1" s="2" t="s">
        <v>69</v>
      </c>
      <c r="G1" s="1" t="s">
        <v>77</v>
      </c>
      <c r="H1" s="1" t="s">
        <v>78</v>
      </c>
    </row>
    <row r="2" spans="1:8" x14ac:dyDescent="0.35">
      <c r="A2" s="3" t="s">
        <v>70</v>
      </c>
      <c r="B2" s="3" t="s">
        <v>7</v>
      </c>
      <c r="C2" s="3" t="s">
        <v>71</v>
      </c>
      <c r="D2" s="3" t="str">
        <f>UPPER(C2)</f>
        <v>PIZZA</v>
      </c>
      <c r="E2" s="4">
        <v>2</v>
      </c>
      <c r="F2" s="4">
        <v>350</v>
      </c>
      <c r="G2">
        <f>F2*E2</f>
        <v>700</v>
      </c>
      <c r="H2" t="str">
        <f>_xlfn.CONCAT(A2,"-",UPPER(B2))</f>
        <v>T1-AMIT</v>
      </c>
    </row>
    <row r="3" spans="1:8" x14ac:dyDescent="0.35">
      <c r="A3" s="5" t="s">
        <v>72</v>
      </c>
      <c r="B3" s="5" t="s">
        <v>15</v>
      </c>
      <c r="C3" s="5" t="s">
        <v>73</v>
      </c>
      <c r="D3" s="3" t="str">
        <f t="shared" ref="D3:D5" si="0">UPPER(C3)</f>
        <v>BURGER</v>
      </c>
      <c r="E3" s="6">
        <v>3</v>
      </c>
      <c r="F3" s="6">
        <v>180</v>
      </c>
      <c r="G3">
        <f t="shared" ref="G3:G5" si="1">F3*E3</f>
        <v>540</v>
      </c>
      <c r="H3" t="str">
        <f t="shared" ref="H3:H5" si="2">_xlfn.CONCAT(A3,"-",UPPER(B3))</f>
        <v>T2-RAVI</v>
      </c>
    </row>
    <row r="4" spans="1:8" x14ac:dyDescent="0.35">
      <c r="A4" s="3" t="s">
        <v>74</v>
      </c>
      <c r="B4" s="3" t="s">
        <v>18</v>
      </c>
      <c r="C4" s="3" t="s">
        <v>75</v>
      </c>
      <c r="D4" s="3" t="str">
        <f t="shared" si="0"/>
        <v>PASTA</v>
      </c>
      <c r="E4" s="4">
        <v>1</v>
      </c>
      <c r="F4" s="4">
        <v>280</v>
      </c>
      <c r="G4">
        <f t="shared" si="1"/>
        <v>280</v>
      </c>
      <c r="H4" t="str">
        <f t="shared" si="2"/>
        <v>T3-PRIYA</v>
      </c>
    </row>
    <row r="5" spans="1:8" x14ac:dyDescent="0.35">
      <c r="A5" s="5" t="s">
        <v>76</v>
      </c>
      <c r="B5" s="5" t="s">
        <v>11</v>
      </c>
      <c r="C5" s="5" t="s">
        <v>71</v>
      </c>
      <c r="D5" s="3" t="str">
        <f t="shared" si="0"/>
        <v>PIZZA</v>
      </c>
      <c r="E5" s="6">
        <v>4</v>
      </c>
      <c r="F5" s="6">
        <v>350</v>
      </c>
      <c r="G5">
        <f t="shared" si="1"/>
        <v>1400</v>
      </c>
      <c r="H5" t="str">
        <f t="shared" si="2"/>
        <v>T4-NEHA</v>
      </c>
    </row>
  </sheetData>
  <conditionalFormatting sqref="G2:G5">
    <cfRule type="cellIs" dxfId="1" priority="1" operator="greaterThan">
      <formula>1000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6275-4632-4479-9870-2AEB229F7FD0}">
  <dimension ref="A1:F4"/>
  <sheetViews>
    <sheetView tabSelected="1" workbookViewId="0">
      <selection activeCell="H8" sqref="H8"/>
    </sheetView>
  </sheetViews>
  <sheetFormatPr defaultRowHeight="14.5" x14ac:dyDescent="0.35"/>
  <cols>
    <col min="1" max="1" width="8.08984375" bestFit="1" customWidth="1"/>
    <col min="2" max="2" width="9.54296875" bestFit="1" customWidth="1"/>
    <col min="3" max="3" width="9" bestFit="1" customWidth="1"/>
    <col min="4" max="4" width="8.6328125" bestFit="1" customWidth="1"/>
    <col min="5" max="5" width="8.36328125" bestFit="1" customWidth="1"/>
    <col min="6" max="6" width="20.90625" bestFit="1" customWidth="1"/>
  </cols>
  <sheetData>
    <row r="1" spans="1:6" x14ac:dyDescent="0.35">
      <c r="A1" s="1" t="s">
        <v>79</v>
      </c>
      <c r="B1" s="1" t="s">
        <v>80</v>
      </c>
      <c r="C1" s="1" t="s">
        <v>81</v>
      </c>
      <c r="D1" s="1" t="s">
        <v>91</v>
      </c>
      <c r="E1" s="1" t="s">
        <v>92</v>
      </c>
      <c r="F1" s="1" t="s">
        <v>93</v>
      </c>
    </row>
    <row r="2" spans="1:6" x14ac:dyDescent="0.35">
      <c r="A2" s="3" t="s">
        <v>82</v>
      </c>
      <c r="B2" s="3" t="s">
        <v>83</v>
      </c>
      <c r="C2" s="3" t="s">
        <v>84</v>
      </c>
      <c r="D2" t="str">
        <f>LEFT(A2,FIND(" ",A2,1))</f>
        <v xml:space="preserve">Amit </v>
      </c>
      <c r="E2" t="str">
        <f>RIGHT(A2,LEN(A2)-FIND(" ",A2,1))</f>
        <v>Shah</v>
      </c>
      <c r="F2" t="str">
        <f>_xlfn.CONCAT(D2,".",E2,"@airport.com")</f>
        <v>Amit .Shah@airport.com</v>
      </c>
    </row>
    <row r="3" spans="1:6" x14ac:dyDescent="0.35">
      <c r="A3" s="5" t="s">
        <v>85</v>
      </c>
      <c r="B3" s="5" t="s">
        <v>86</v>
      </c>
      <c r="C3" s="5" t="s">
        <v>87</v>
      </c>
      <c r="D3" t="str">
        <f t="shared" ref="D3:D4" si="0">LEFT(A3,FIND(" ",A3,1))</f>
        <v xml:space="preserve">Ravi </v>
      </c>
      <c r="E3" t="str">
        <f t="shared" ref="E3:E4" si="1">RIGHT(A3,LEN(A3)-FIND(" ",A3,1))</f>
        <v>Patel</v>
      </c>
      <c r="F3" t="str">
        <f t="shared" ref="F3:F4" si="2">_xlfn.CONCAT(D3,".",E3,"@airport.com")</f>
        <v>Ravi .Patel@airport.com</v>
      </c>
    </row>
    <row r="4" spans="1:6" x14ac:dyDescent="0.35">
      <c r="A4" s="3" t="s">
        <v>88</v>
      </c>
      <c r="B4" s="3" t="s">
        <v>89</v>
      </c>
      <c r="C4" s="3" t="s">
        <v>90</v>
      </c>
      <c r="D4" t="str">
        <f t="shared" si="0"/>
        <v xml:space="preserve">Neha </v>
      </c>
      <c r="E4" t="str">
        <f t="shared" si="1"/>
        <v>Joshi</v>
      </c>
      <c r="F4" t="str">
        <f t="shared" si="2"/>
        <v>Neha .Joshi@airport.com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ASDC126</dc:creator>
  <cp:lastModifiedBy>ASDC126</cp:lastModifiedBy>
  <dcterms:created xsi:type="dcterms:W3CDTF">2026-07-05T09:08:27Z</dcterms:created>
  <dcterms:modified xsi:type="dcterms:W3CDTF">2026-07-05T10:01:01Z</dcterms:modified>
</cp:coreProperties>
</file>