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hruv patel\Downloads\"/>
    </mc:Choice>
  </mc:AlternateContent>
  <xr:revisionPtr revIDLastSave="0" documentId="8_{BB9CA641-4D82-4FEB-A23B-2AA19A1F1A1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Answer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" i="6" l="1"/>
  <c r="V15" i="6"/>
  <c r="V16" i="6"/>
  <c r="V13" i="6"/>
  <c r="R40" i="6"/>
  <c r="R41" i="6"/>
  <c r="R42" i="6"/>
  <c r="R43" i="6"/>
  <c r="R39" i="6"/>
  <c r="N39" i="6"/>
  <c r="E39" i="6" a="1"/>
  <c r="E39" i="6" s="1"/>
  <c r="T32" i="6"/>
  <c r="T33" i="6"/>
  <c r="T34" i="6"/>
  <c r="T35" i="6"/>
  <c r="T31" i="6"/>
  <c r="P32" i="6"/>
  <c r="P33" i="6"/>
  <c r="P34" i="6"/>
  <c r="P35" i="6"/>
  <c r="P31" i="6"/>
  <c r="M31" i="6"/>
  <c r="I31" i="6"/>
  <c r="P22" i="6"/>
  <c r="F32" i="6"/>
  <c r="F33" i="6"/>
  <c r="F34" i="6"/>
  <c r="F35" i="6"/>
  <c r="F31" i="6"/>
  <c r="B31" i="6"/>
  <c r="P23" i="6"/>
  <c r="P24" i="6"/>
  <c r="P25" i="6"/>
  <c r="P26" i="6"/>
  <c r="I23" i="6"/>
  <c r="I24" i="6"/>
  <c r="I25" i="6"/>
  <c r="I26" i="6"/>
  <c r="I27" i="6"/>
  <c r="I22" i="6"/>
  <c r="B23" i="6"/>
  <c r="B24" i="6"/>
  <c r="B25" i="6"/>
  <c r="B26" i="6"/>
  <c r="B27" i="6"/>
  <c r="B22" i="6"/>
  <c r="P13" i="6"/>
  <c r="E14" i="6"/>
  <c r="B14" i="6"/>
  <c r="B15" i="6"/>
  <c r="E15" i="6" s="1"/>
  <c r="B16" i="6"/>
  <c r="E16" i="6" s="1"/>
  <c r="B17" i="6"/>
  <c r="E17" i="6" s="1"/>
  <c r="B18" i="6"/>
  <c r="E18" i="6" s="1"/>
  <c r="B13" i="6"/>
  <c r="E13" i="6" s="1"/>
  <c r="J32" i="5"/>
  <c r="U22" i="6" l="1"/>
  <c r="T22" i="6" s="1"/>
  <c r="L22" i="6" l="1" a="1"/>
  <c r="L22" i="6" s="1"/>
  <c r="K13" i="6"/>
  <c r="F22" i="6"/>
  <c r="F21" i="6"/>
  <c r="M22" i="6" a="1"/>
  <c r="M22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<sst xmlns="http://schemas.openxmlformats.org/spreadsheetml/2006/main" count="188" uniqueCount="118">
  <si>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</si>
  <si>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</si>
  <si>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</si>
  <si>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</si>
  <si>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</si>
  <si>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</si>
  <si>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</si>
  <si>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</si>
  <si>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</si>
  <si>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</si>
  <si>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</si>
  <si>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</si>
  <si>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</si>
  <si>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</si>
  <si>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</si>
  <si>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</si>
  <si>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</si>
  <si>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</si>
  <si>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</si>
  <si>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</si>
  <si>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</si>
  <si>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</si>
  <si>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</si>
  <si>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</si>
  <si>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</si>
  <si>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</si>
  <si>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</si>
  <si>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</si>
  <si>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</si>
  <si>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</si>
  <si>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</si>
  <si>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</si>
  <si>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</si>
  <si>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</si>
  <si>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</si>
  <si>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</si>
  <si>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</si>
  <si>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</si>
  <si>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</si>
  <si>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</si>
  <si>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</si>
  <si>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</si>
  <si>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</si>
  <si>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</si>
  <si>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</si>
  <si>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</si>
  <si>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</si>
  <si>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</si>
  <si>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</si>
  <si>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</si>
  <si>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</si>
  <si>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</si>
  <si>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</si>
  <si>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</si>
  <si>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</si>
  <si>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</si>
  <si>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</si>
  <si>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</si>
  <si>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</si>
  <si>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</si>
  <si>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</si>
  <si>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</si>
  <si>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</si>
  <si>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</si>
  <si>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</si>
  <si>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</si>
  <si>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</si>
  <si>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</si>
  <si>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</si>
  <si>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</si>
  <si>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</si>
  <si>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</si>
  <si>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</si>
  <si>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Q1</t>
  </si>
  <si>
    <t>Q2</t>
  </si>
  <si>
    <t>GST Amount</t>
  </si>
  <si>
    <t>Q3</t>
  </si>
  <si>
    <t>Final Amount</t>
  </si>
  <si>
    <t>Q4</t>
  </si>
  <si>
    <t>Q5</t>
  </si>
  <si>
    <t>Q6</t>
  </si>
  <si>
    <t xml:space="preserve">Region </t>
  </si>
  <si>
    <t>Total Amount</t>
  </si>
  <si>
    <t>Grand Total of Final Amount</t>
  </si>
  <si>
    <t>Count Total Order</t>
  </si>
  <si>
    <t>Sales</t>
  </si>
  <si>
    <t xml:space="preserve">North </t>
  </si>
  <si>
    <t>Q7</t>
  </si>
  <si>
    <t>Q8</t>
  </si>
  <si>
    <t>Maximum</t>
  </si>
  <si>
    <t>Minimum</t>
  </si>
  <si>
    <t>Q9</t>
  </si>
  <si>
    <t>Sale Month</t>
  </si>
  <si>
    <t>Q10</t>
  </si>
  <si>
    <t>Sales-Date</t>
  </si>
  <si>
    <t>Q12</t>
  </si>
  <si>
    <t>Average Marks</t>
  </si>
  <si>
    <t>Q13</t>
  </si>
  <si>
    <t>Topper</t>
  </si>
  <si>
    <t>Q14</t>
  </si>
  <si>
    <t>Above 90% attendance</t>
  </si>
  <si>
    <t>Q15</t>
  </si>
  <si>
    <t>Eligible Students</t>
  </si>
  <si>
    <t>Q20</t>
  </si>
  <si>
    <t>Median Of Statics Marks</t>
  </si>
  <si>
    <t>Q21</t>
  </si>
  <si>
    <t>SD of Excel Marks</t>
  </si>
  <si>
    <t>Q22</t>
  </si>
  <si>
    <t>Concated Name</t>
  </si>
  <si>
    <t>Q23</t>
  </si>
  <si>
    <t>first 2 letters of Salesperson</t>
  </si>
  <si>
    <t>Q24</t>
  </si>
  <si>
    <t>Q25</t>
  </si>
  <si>
    <t>Laptop GT 1</t>
  </si>
  <si>
    <t>Q26</t>
  </si>
  <si>
    <t>Laptop In North region</t>
  </si>
  <si>
    <t>Q27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</si>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</sst>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/>
    <xf numFmtId="2" fontId="0" fillId="0" borderId="1" xfId="0" applyNumberFormat="1" applyBorder="1"/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4.4" x14ac:dyDescent="0.3"/>
  <sheetData>
    <row r="1" spans="1:1" x14ac:dyDescent="0.3">
      <c r="A1" t="s">
        <v>72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sqref="A1:G7"/>
    </sheetView>
  </sheetViews>
  <sheetFormatPr defaultRowHeight="14.4" x14ac:dyDescent="0.3"/>
  <sheetData>
    <row r="1" spans="1: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3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3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3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3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3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4.4" x14ac:dyDescent="0.3"/>
  <sheetData>
    <row r="1" spans="1:3" x14ac:dyDescent="0.3">
      <c r="A1" t="s">
        <v>7</v>
      </c>
      <c r="B1" t="s">
        <v>28</v>
      </c>
      <c r="C1" t="s">
        <v>29</v>
      </c>
    </row>
    <row r="2" spans="1:3" x14ac:dyDescent="0.3">
      <c r="A2" t="s">
        <v>13</v>
      </c>
      <c r="B2" t="s">
        <v>30</v>
      </c>
      <c r="C2">
        <v>18</v>
      </c>
    </row>
    <row r="3" spans="1:3" x14ac:dyDescent="0.3">
      <c r="A3" t="s">
        <v>17</v>
      </c>
      <c r="B3" t="s">
        <v>30</v>
      </c>
      <c r="C3">
        <v>12</v>
      </c>
    </row>
    <row r="4" spans="1:3" x14ac:dyDescent="0.3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sqref="A1:F6"/>
    </sheetView>
  </sheetViews>
  <sheetFormatPr defaultRowHeight="14.4" x14ac:dyDescent="0.3"/>
  <sheetData>
    <row r="1" spans="1:6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3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3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3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3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9" workbookViewId="0">
      <selection activeCell="A29" sqref="A29"/>
    </sheetView>
  </sheetViews>
  <sheetFormatPr defaultRowHeight="14.4" x14ac:dyDescent="0.3"/>
  <sheetData>
    <row r="1" spans="1:10" x14ac:dyDescent="0.3">
      <c r="A1" t="s">
        <v>42</v>
      </c>
      <c r="J1">
        <v>2</v>
      </c>
    </row>
    <row r="2" spans="1:10" x14ac:dyDescent="0.3">
      <c r="A2" t="s">
        <v>43</v>
      </c>
      <c r="J2">
        <v>2</v>
      </c>
    </row>
    <row r="3" spans="1:10" x14ac:dyDescent="0.3">
      <c r="A3" t="s">
        <v>44</v>
      </c>
      <c r="J3">
        <v>2</v>
      </c>
    </row>
    <row r="4" spans="1:10" x14ac:dyDescent="0.3">
      <c r="A4" t="s">
        <v>45</v>
      </c>
      <c r="J4">
        <v>2</v>
      </c>
    </row>
    <row r="5" spans="1:10" x14ac:dyDescent="0.3">
      <c r="A5" t="s">
        <v>46</v>
      </c>
      <c r="J5">
        <v>2</v>
      </c>
    </row>
    <row r="6" spans="1:10" x14ac:dyDescent="0.3">
      <c r="A6" t="s">
        <v>47</v>
      </c>
      <c r="J6">
        <v>2</v>
      </c>
    </row>
    <row r="7" spans="1:10" x14ac:dyDescent="0.3">
      <c r="A7" t="s">
        <v>48</v>
      </c>
      <c r="J7">
        <v>2</v>
      </c>
    </row>
    <row r="8" spans="1:10" x14ac:dyDescent="0.3">
      <c r="A8" t="s">
        <v>49</v>
      </c>
      <c r="J8">
        <v>2</v>
      </c>
    </row>
    <row r="9" spans="1:10" x14ac:dyDescent="0.3">
      <c r="A9" t="s">
        <v>50</v>
      </c>
      <c r="J9">
        <v>2</v>
      </c>
    </row>
    <row r="10" spans="1:10" x14ac:dyDescent="0.3">
      <c r="A10" t="s">
        <v>51</v>
      </c>
      <c r="J10">
        <v>2</v>
      </c>
    </row>
    <row r="11" spans="1:10" x14ac:dyDescent="0.3">
      <c r="A11" t="s">
        <v>52</v>
      </c>
      <c r="J11">
        <v>2</v>
      </c>
    </row>
    <row r="12" spans="1:10" x14ac:dyDescent="0.3">
      <c r="A12" t="s">
        <v>53</v>
      </c>
      <c r="J12">
        <v>2</v>
      </c>
    </row>
    <row r="13" spans="1:10" x14ac:dyDescent="0.3">
      <c r="A13" t="s">
        <v>54</v>
      </c>
      <c r="J13">
        <v>2</v>
      </c>
    </row>
    <row r="14" spans="1:10" x14ac:dyDescent="0.3">
      <c r="A14" t="s">
        <v>55</v>
      </c>
      <c r="J14">
        <v>2</v>
      </c>
    </row>
    <row r="15" spans="1:10" x14ac:dyDescent="0.3">
      <c r="A15" t="s">
        <v>56</v>
      </c>
      <c r="J15">
        <v>2</v>
      </c>
    </row>
    <row r="16" spans="1:10" x14ac:dyDescent="0.3">
      <c r="A16" t="s">
        <v>57</v>
      </c>
      <c r="J16">
        <v>2</v>
      </c>
    </row>
    <row r="17" spans="1:10" x14ac:dyDescent="0.3">
      <c r="A17" t="s">
        <v>58</v>
      </c>
      <c r="J17">
        <v>2</v>
      </c>
    </row>
    <row r="18" spans="1:10" x14ac:dyDescent="0.3">
      <c r="A18" t="s">
        <v>59</v>
      </c>
      <c r="J18">
        <v>2</v>
      </c>
    </row>
    <row r="19" spans="1:10" x14ac:dyDescent="0.3">
      <c r="A19" t="s">
        <v>60</v>
      </c>
      <c r="J19">
        <v>2</v>
      </c>
    </row>
    <row r="20" spans="1:10" x14ac:dyDescent="0.3">
      <c r="A20" t="s">
        <v>61</v>
      </c>
      <c r="J20">
        <v>2</v>
      </c>
    </row>
    <row r="21" spans="1:10" x14ac:dyDescent="0.3">
      <c r="A21" t="s">
        <v>62</v>
      </c>
      <c r="J21">
        <v>2</v>
      </c>
    </row>
    <row r="22" spans="1:10" x14ac:dyDescent="0.3">
      <c r="A22" t="s">
        <v>63</v>
      </c>
      <c r="J22">
        <v>2</v>
      </c>
    </row>
    <row r="23" spans="1:10" x14ac:dyDescent="0.3">
      <c r="A23" t="s">
        <v>64</v>
      </c>
      <c r="J23">
        <v>2</v>
      </c>
    </row>
    <row r="24" spans="1:10" x14ac:dyDescent="0.3">
      <c r="A24" t="s">
        <v>65</v>
      </c>
      <c r="J24">
        <v>2</v>
      </c>
    </row>
    <row r="25" spans="1:10" x14ac:dyDescent="0.3">
      <c r="A25" t="s">
        <v>66</v>
      </c>
      <c r="J25">
        <v>2</v>
      </c>
    </row>
    <row r="26" spans="1:10" x14ac:dyDescent="0.3">
      <c r="A26" t="s">
        <v>67</v>
      </c>
      <c r="J26">
        <v>2</v>
      </c>
    </row>
    <row r="27" spans="1:10" x14ac:dyDescent="0.3">
      <c r="A27" t="s">
        <v>68</v>
      </c>
      <c r="J27">
        <v>2</v>
      </c>
    </row>
    <row r="28" spans="1:10" x14ac:dyDescent="0.3">
      <c r="A28" t="s">
        <v>69</v>
      </c>
      <c r="J28">
        <v>2</v>
      </c>
    </row>
    <row r="29" spans="1:10" x14ac:dyDescent="0.3">
      <c r="A29" t="s">
        <v>70</v>
      </c>
      <c r="J29">
        <v>2</v>
      </c>
    </row>
    <row r="30" spans="1:10" x14ac:dyDescent="0.3">
      <c r="A30" t="s">
        <v>71</v>
      </c>
      <c r="J30">
        <v>2</v>
      </c>
    </row>
    <row r="32" spans="1:10" x14ac:dyDescent="0.3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D0994-4D9E-4587-867F-CFC8071D1510}">
  <dimension ref="A1:W44"/>
  <sheetViews>
    <sheetView tabSelected="1" zoomScale="98" workbookViewId="0">
      <pane ySplit="1" topLeftCell="A2" activePane="bottomLeft" state="frozen"/>
      <selection pane="bottomLeft" activeCell="O30" sqref="O30"/>
    </sheetView>
  </sheetViews>
  <sheetFormatPr defaultRowHeight="14.4" x14ac:dyDescent="0.3"/>
  <cols>
    <col min="1" max="1" width="8.5546875" bestFit="1" customWidth="1"/>
    <col min="2" max="2" width="14.77734375" customWidth="1"/>
    <col min="3" max="3" width="11" bestFit="1" customWidth="1"/>
    <col min="4" max="4" width="7.6640625" bestFit="1" customWidth="1"/>
    <col min="5" max="5" width="14.109375" customWidth="1"/>
    <col min="6" max="6" width="18.88671875" customWidth="1"/>
    <col min="7" max="7" width="13" customWidth="1"/>
    <col min="8" max="8" width="15.21875" customWidth="1"/>
    <col min="9" max="9" width="21" bestFit="1" customWidth="1"/>
    <col min="10" max="10" width="7.6640625" bestFit="1" customWidth="1"/>
    <col min="11" max="11" width="10.33203125" bestFit="1" customWidth="1"/>
    <col min="12" max="12" width="14.77734375" customWidth="1"/>
    <col min="13" max="13" width="23.5546875" customWidth="1"/>
    <col min="14" max="14" width="29.44140625" customWidth="1"/>
    <col min="15" max="15" width="10.44140625" bestFit="1" customWidth="1"/>
    <col min="16" max="16" width="19.5546875" customWidth="1"/>
    <col min="17" max="17" width="6.33203125" bestFit="1" customWidth="1"/>
    <col min="18" max="18" width="12.88671875" customWidth="1"/>
    <col min="19" max="19" width="5.21875" bestFit="1" customWidth="1"/>
    <col min="20" max="20" width="8" customWidth="1"/>
    <col min="21" max="21" width="10.77734375" customWidth="1"/>
    <col min="22" max="22" width="7" bestFit="1" customWidth="1"/>
  </cols>
  <sheetData>
    <row r="1" spans="1:22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J1" s="2" t="s">
        <v>7</v>
      </c>
      <c r="K1" s="2" t="s">
        <v>28</v>
      </c>
      <c r="L1" s="2" t="s">
        <v>29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</row>
    <row r="2" spans="1:22" x14ac:dyDescent="0.3">
      <c r="A2" s="17">
        <v>301</v>
      </c>
      <c r="B2" s="17" t="s">
        <v>11</v>
      </c>
      <c r="C2" s="17" t="s">
        <v>12</v>
      </c>
      <c r="D2" s="17" t="s">
        <v>13</v>
      </c>
      <c r="E2" s="17">
        <v>2</v>
      </c>
      <c r="F2" s="17">
        <v>45000</v>
      </c>
      <c r="G2" s="18">
        <v>45662</v>
      </c>
      <c r="J2" s="17" t="s">
        <v>13</v>
      </c>
      <c r="K2" s="17" t="s">
        <v>30</v>
      </c>
      <c r="L2" s="17">
        <v>18</v>
      </c>
      <c r="O2" s="17">
        <v>1</v>
      </c>
      <c r="P2" s="17" t="s">
        <v>37</v>
      </c>
      <c r="Q2" s="17">
        <v>78</v>
      </c>
      <c r="R2" s="17">
        <v>82</v>
      </c>
      <c r="S2" s="17">
        <v>85</v>
      </c>
      <c r="T2" s="17">
        <v>92</v>
      </c>
    </row>
    <row r="3" spans="1:22" x14ac:dyDescent="0.3">
      <c r="A3" s="17">
        <v>302</v>
      </c>
      <c r="B3" s="17" t="s">
        <v>15</v>
      </c>
      <c r="C3" s="17" t="s">
        <v>16</v>
      </c>
      <c r="D3" s="17" t="s">
        <v>17</v>
      </c>
      <c r="E3" s="17">
        <v>5</v>
      </c>
      <c r="F3" s="17">
        <v>15000</v>
      </c>
      <c r="G3" s="17" t="s">
        <v>18</v>
      </c>
      <c r="J3" s="17" t="s">
        <v>17</v>
      </c>
      <c r="K3" s="17" t="s">
        <v>30</v>
      </c>
      <c r="L3" s="17">
        <v>12</v>
      </c>
      <c r="O3" s="17">
        <v>2</v>
      </c>
      <c r="P3" s="17" t="s">
        <v>38</v>
      </c>
      <c r="Q3" s="17">
        <v>88</v>
      </c>
      <c r="R3" s="17">
        <v>91</v>
      </c>
      <c r="S3" s="17">
        <v>90</v>
      </c>
      <c r="T3" s="17">
        <v>96</v>
      </c>
    </row>
    <row r="4" spans="1:22" x14ac:dyDescent="0.3">
      <c r="A4" s="17">
        <v>303</v>
      </c>
      <c r="B4" s="17" t="s">
        <v>19</v>
      </c>
      <c r="C4" s="17" t="s">
        <v>20</v>
      </c>
      <c r="D4" s="17" t="s">
        <v>21</v>
      </c>
      <c r="E4" s="17">
        <v>3</v>
      </c>
      <c r="F4" s="17">
        <v>18000</v>
      </c>
      <c r="G4" s="17" t="s">
        <v>22</v>
      </c>
      <c r="J4" s="17" t="s">
        <v>21</v>
      </c>
      <c r="K4" s="17" t="s">
        <v>30</v>
      </c>
      <c r="L4" s="17">
        <v>12</v>
      </c>
      <c r="O4" s="17">
        <v>3</v>
      </c>
      <c r="P4" s="17" t="s">
        <v>39</v>
      </c>
      <c r="Q4" s="17">
        <v>65</v>
      </c>
      <c r="R4" s="17">
        <v>70</v>
      </c>
      <c r="S4" s="17">
        <v>72</v>
      </c>
      <c r="T4" s="17">
        <v>85</v>
      </c>
    </row>
    <row r="5" spans="1:22" x14ac:dyDescent="0.3">
      <c r="A5" s="17">
        <v>304</v>
      </c>
      <c r="B5" s="17" t="s">
        <v>23</v>
      </c>
      <c r="C5" s="17" t="s">
        <v>24</v>
      </c>
      <c r="D5" s="17" t="s">
        <v>13</v>
      </c>
      <c r="E5" s="17">
        <v>1</v>
      </c>
      <c r="F5" s="17">
        <v>45000</v>
      </c>
      <c r="G5" s="17" t="s">
        <v>25</v>
      </c>
      <c r="O5" s="17">
        <v>4</v>
      </c>
      <c r="P5" s="17" t="s">
        <v>40</v>
      </c>
      <c r="Q5" s="17">
        <v>92</v>
      </c>
      <c r="R5" s="17">
        <v>89</v>
      </c>
      <c r="S5" s="17">
        <v>94</v>
      </c>
      <c r="T5" s="17">
        <v>98</v>
      </c>
    </row>
    <row r="6" spans="1:22" x14ac:dyDescent="0.3">
      <c r="A6" s="17">
        <v>305</v>
      </c>
      <c r="B6" s="17" t="s">
        <v>11</v>
      </c>
      <c r="C6" s="17" t="s">
        <v>12</v>
      </c>
      <c r="D6" s="17" t="s">
        <v>17</v>
      </c>
      <c r="E6" s="17">
        <v>4</v>
      </c>
      <c r="F6" s="17">
        <v>15000</v>
      </c>
      <c r="G6" s="17" t="s">
        <v>26</v>
      </c>
      <c r="O6" s="17">
        <v>5</v>
      </c>
      <c r="P6" s="17" t="s">
        <v>41</v>
      </c>
      <c r="Q6" s="17">
        <v>55</v>
      </c>
      <c r="R6" s="17">
        <v>60</v>
      </c>
      <c r="S6" s="17">
        <v>58</v>
      </c>
      <c r="T6" s="17">
        <v>80</v>
      </c>
    </row>
    <row r="7" spans="1:22" x14ac:dyDescent="0.3">
      <c r="A7" s="17">
        <v>306</v>
      </c>
      <c r="B7" s="17" t="s">
        <v>15</v>
      </c>
      <c r="C7" s="17" t="s">
        <v>16</v>
      </c>
      <c r="D7" s="17" t="s">
        <v>13</v>
      </c>
      <c r="E7" s="17">
        <v>2</v>
      </c>
      <c r="F7" s="17">
        <v>45000</v>
      </c>
      <c r="G7" s="17" t="s">
        <v>27</v>
      </c>
    </row>
    <row r="12" spans="1:22" x14ac:dyDescent="0.3">
      <c r="A12" s="2" t="s">
        <v>73</v>
      </c>
      <c r="B12" s="12" t="s">
        <v>82</v>
      </c>
      <c r="D12" s="2" t="s">
        <v>74</v>
      </c>
      <c r="E12" s="12" t="s">
        <v>75</v>
      </c>
      <c r="G12" s="2" t="s">
        <v>76</v>
      </c>
      <c r="H12" s="12" t="s">
        <v>77</v>
      </c>
      <c r="J12" s="2" t="s">
        <v>78</v>
      </c>
      <c r="K12" s="13" t="s">
        <v>83</v>
      </c>
      <c r="L12" s="13"/>
      <c r="M12" s="13"/>
      <c r="O12" s="2" t="s">
        <v>79</v>
      </c>
      <c r="P12" s="13" t="s">
        <v>84</v>
      </c>
      <c r="Q12" s="13"/>
      <c r="R12" s="13"/>
      <c r="T12" s="2" t="s">
        <v>80</v>
      </c>
      <c r="U12" s="12" t="s">
        <v>81</v>
      </c>
      <c r="V12" s="12" t="s">
        <v>85</v>
      </c>
    </row>
    <row r="13" spans="1:22" x14ac:dyDescent="0.3">
      <c r="A13" s="1"/>
      <c r="B13" s="1">
        <f>F2*E2</f>
        <v>90000</v>
      </c>
      <c r="D13" s="1"/>
      <c r="E13" s="1">
        <f>B13*VLOOKUP(D2,$J$1:$L$4,3,0)%</f>
        <v>16200</v>
      </c>
      <c r="G13" s="1"/>
      <c r="H13" s="1">
        <v>106200</v>
      </c>
      <c r="J13" s="1"/>
      <c r="K13" s="4">
        <f>SUM(H13:H18)</f>
        <v>477180</v>
      </c>
      <c r="L13" s="5"/>
      <c r="M13" s="6"/>
      <c r="O13" s="1"/>
      <c r="P13" s="4">
        <f>COUNT(E2:E7)</f>
        <v>6</v>
      </c>
      <c r="Q13" s="5"/>
      <c r="R13" s="6"/>
      <c r="T13" s="1"/>
      <c r="U13" s="1" t="s">
        <v>86</v>
      </c>
      <c r="V13" s="1">
        <f>SUMIF(B2:B7,B2,B13:B18)</f>
        <v>150000</v>
      </c>
    </row>
    <row r="14" spans="1:22" x14ac:dyDescent="0.3">
      <c r="A14" s="1"/>
      <c r="B14" s="1">
        <f t="shared" ref="B14:B18" si="0">F3*E3</f>
        <v>75000</v>
      </c>
      <c r="D14" s="1"/>
      <c r="E14" s="1">
        <f t="shared" ref="E14:E18" si="1">B14*VLOOKUP(D3,$J$1:$L$4,3,0)%</f>
        <v>9000</v>
      </c>
      <c r="G14" s="1"/>
      <c r="H14" s="1">
        <v>84000</v>
      </c>
      <c r="T14" s="1"/>
      <c r="U14" s="1" t="s">
        <v>15</v>
      </c>
      <c r="V14" s="1">
        <f t="shared" ref="V14:V16" si="2">SUMIF(B3:B8,B3,B14:B19)</f>
        <v>165000</v>
      </c>
    </row>
    <row r="15" spans="1:22" x14ac:dyDescent="0.3">
      <c r="A15" s="1"/>
      <c r="B15" s="1">
        <f t="shared" si="0"/>
        <v>54000</v>
      </c>
      <c r="D15" s="1"/>
      <c r="E15" s="1">
        <f t="shared" si="1"/>
        <v>6480</v>
      </c>
      <c r="G15" s="1"/>
      <c r="H15" s="1">
        <v>60480</v>
      </c>
      <c r="T15" s="1"/>
      <c r="U15" s="1" t="s">
        <v>19</v>
      </c>
      <c r="V15" s="1">
        <f t="shared" si="2"/>
        <v>54000</v>
      </c>
    </row>
    <row r="16" spans="1:22" x14ac:dyDescent="0.3">
      <c r="A16" s="1"/>
      <c r="B16" s="1">
        <f t="shared" si="0"/>
        <v>45000</v>
      </c>
      <c r="D16" s="1"/>
      <c r="E16" s="1">
        <f t="shared" si="1"/>
        <v>8100</v>
      </c>
      <c r="G16" s="1"/>
      <c r="H16" s="1">
        <v>53100</v>
      </c>
      <c r="T16" s="1"/>
      <c r="U16" s="1" t="s">
        <v>23</v>
      </c>
      <c r="V16" s="1">
        <f t="shared" si="2"/>
        <v>45000</v>
      </c>
    </row>
    <row r="17" spans="1:23" x14ac:dyDescent="0.3">
      <c r="A17" s="1"/>
      <c r="B17" s="1">
        <f t="shared" si="0"/>
        <v>60000</v>
      </c>
      <c r="D17" s="1"/>
      <c r="E17" s="1">
        <f t="shared" si="1"/>
        <v>7200</v>
      </c>
      <c r="G17" s="1"/>
      <c r="H17" s="1">
        <v>67200</v>
      </c>
    </row>
    <row r="18" spans="1:23" x14ac:dyDescent="0.3">
      <c r="A18" s="1"/>
      <c r="B18" s="1">
        <f t="shared" si="0"/>
        <v>90000</v>
      </c>
      <c r="D18" s="1"/>
      <c r="E18" s="1">
        <f t="shared" si="1"/>
        <v>16200</v>
      </c>
      <c r="G18" s="1"/>
      <c r="H18" s="1">
        <v>106200</v>
      </c>
    </row>
    <row r="21" spans="1:23" x14ac:dyDescent="0.3">
      <c r="A21" s="2" t="s">
        <v>87</v>
      </c>
      <c r="B21" s="12" t="s">
        <v>8</v>
      </c>
      <c r="D21" s="2" t="s">
        <v>88</v>
      </c>
      <c r="E21" s="12" t="s">
        <v>89</v>
      </c>
      <c r="F21" s="1">
        <f>MAX(Answers!H13:H18)</f>
        <v>106200</v>
      </c>
      <c r="H21" s="2" t="s">
        <v>91</v>
      </c>
      <c r="I21" s="12" t="s">
        <v>92</v>
      </c>
      <c r="K21" s="2" t="s">
        <v>93</v>
      </c>
      <c r="L21" s="12" t="s">
        <v>94</v>
      </c>
      <c r="M21" s="12" t="s">
        <v>77</v>
      </c>
      <c r="O21" s="2" t="s">
        <v>95</v>
      </c>
      <c r="P21" s="13" t="s">
        <v>96</v>
      </c>
      <c r="Q21" s="13"/>
      <c r="S21" s="2" t="s">
        <v>97</v>
      </c>
      <c r="T21" s="12" t="s">
        <v>98</v>
      </c>
      <c r="U21" s="13" t="s">
        <v>96</v>
      </c>
      <c r="V21" s="13"/>
    </row>
    <row r="22" spans="1:23" x14ac:dyDescent="0.3">
      <c r="A22" s="1"/>
      <c r="B22" s="1" t="str">
        <f>IF(E2&gt;3,"High","Low")</f>
        <v>Low</v>
      </c>
      <c r="D22" s="12"/>
      <c r="E22" s="12" t="s">
        <v>90</v>
      </c>
      <c r="F22" s="1">
        <f>MIN(H13:H18)</f>
        <v>53100</v>
      </c>
      <c r="H22" s="1"/>
      <c r="I22" s="1" t="str">
        <f>TEXT(G2,"mmmm")</f>
        <v>January</v>
      </c>
      <c r="K22" s="1"/>
      <c r="L22" s="7" cm="1">
        <f t="array" ref="L22:L27">_xlfn.SORTBY(G2:G7,H13:H18,-1)</f>
        <v>45662</v>
      </c>
      <c r="M22" s="1" cm="1">
        <f t="array" ref="M22:M27">_xlfn._xlws.SORT(H13:H18,1,-1)</f>
        <v>106200</v>
      </c>
      <c r="O22" s="1"/>
      <c r="P22" s="10">
        <f>AVERAGE(Q2:S2)</f>
        <v>81.666666666666671</v>
      </c>
      <c r="Q22" s="11"/>
      <c r="S22" s="1"/>
      <c r="T22" s="1" t="str">
        <f>_xlfn.XLOOKUP(U22,P22:P26,P2:P6)</f>
        <v>Pooja</v>
      </c>
      <c r="U22" s="10">
        <f>MAX(P22:P26)</f>
        <v>91.666666666666671</v>
      </c>
      <c r="V22" s="11"/>
    </row>
    <row r="23" spans="1:23" x14ac:dyDescent="0.3">
      <c r="A23" s="1"/>
      <c r="B23" s="1" t="str">
        <f t="shared" ref="B23:B27" si="3">IF(E3&gt;3,"High","Low")</f>
        <v>High</v>
      </c>
      <c r="H23" s="1"/>
      <c r="I23" s="1" t="str">
        <f>TEXT(G3,"mmmm")</f>
        <v>January</v>
      </c>
      <c r="K23" s="1"/>
      <c r="L23" s="8" t="str">
        <v>18-01-2025</v>
      </c>
      <c r="M23" s="1">
        <v>106200</v>
      </c>
      <c r="O23" s="1"/>
      <c r="P23" s="10">
        <f>AVERAGE(Q3:S3)</f>
        <v>89.666666666666671</v>
      </c>
      <c r="Q23" s="11"/>
    </row>
    <row r="24" spans="1:23" x14ac:dyDescent="0.3">
      <c r="A24" s="1"/>
      <c r="B24" s="1" t="str">
        <f t="shared" si="3"/>
        <v>Low</v>
      </c>
      <c r="H24" s="1"/>
      <c r="I24" s="1" t="str">
        <f>TEXT(G4,"mmmm")</f>
        <v>January</v>
      </c>
      <c r="K24" s="1"/>
      <c r="L24" s="8" t="str">
        <v>07-01-2025</v>
      </c>
      <c r="M24" s="1">
        <v>84000</v>
      </c>
      <c r="O24" s="1"/>
      <c r="P24" s="10">
        <f>AVERAGE(Q4:S4)</f>
        <v>69</v>
      </c>
      <c r="Q24" s="11"/>
    </row>
    <row r="25" spans="1:23" x14ac:dyDescent="0.3">
      <c r="A25" s="1"/>
      <c r="B25" s="1" t="str">
        <f t="shared" si="3"/>
        <v>Low</v>
      </c>
      <c r="H25" s="1"/>
      <c r="I25" s="1" t="str">
        <f>TEXT(G5,"mmmm")</f>
        <v>January</v>
      </c>
      <c r="K25" s="1"/>
      <c r="L25" s="8" t="str">
        <v>15-01-2025</v>
      </c>
      <c r="M25" s="1">
        <v>67200</v>
      </c>
      <c r="O25" s="1"/>
      <c r="P25" s="10">
        <f>AVERAGE(Q5:S5)</f>
        <v>91.666666666666671</v>
      </c>
      <c r="Q25" s="11"/>
    </row>
    <row r="26" spans="1:23" x14ac:dyDescent="0.3">
      <c r="A26" s="1"/>
      <c r="B26" s="1" t="str">
        <f t="shared" si="3"/>
        <v>High</v>
      </c>
      <c r="H26" s="1"/>
      <c r="I26" s="1" t="str">
        <f>TEXT(G6,"mmmm")</f>
        <v>January</v>
      </c>
      <c r="K26" s="1"/>
      <c r="L26" s="8" t="str">
        <v>10-01-2025</v>
      </c>
      <c r="M26" s="1">
        <v>60480</v>
      </c>
      <c r="O26" s="1"/>
      <c r="P26" s="10">
        <f>AVERAGE(Q6:S6)</f>
        <v>57.666666666666664</v>
      </c>
      <c r="Q26" s="11"/>
    </row>
    <row r="27" spans="1:23" x14ac:dyDescent="0.3">
      <c r="A27" s="1"/>
      <c r="B27" s="1" t="str">
        <f t="shared" si="3"/>
        <v>Low</v>
      </c>
      <c r="H27" s="1"/>
      <c r="I27" s="1" t="str">
        <f>TEXT(G7,"mmmm")</f>
        <v>January</v>
      </c>
      <c r="K27" s="1"/>
      <c r="L27" s="8" t="str">
        <v>12-01-2025</v>
      </c>
      <c r="M27" s="1">
        <v>53100</v>
      </c>
    </row>
    <row r="30" spans="1:23" x14ac:dyDescent="0.3">
      <c r="A30" s="2" t="s">
        <v>99</v>
      </c>
      <c r="B30" s="13" t="s">
        <v>100</v>
      </c>
      <c r="C30" s="13"/>
      <c r="E30" s="2" t="s">
        <v>101</v>
      </c>
      <c r="F30" s="12" t="s">
        <v>102</v>
      </c>
      <c r="H30" s="2" t="s">
        <v>103</v>
      </c>
      <c r="I30" s="13" t="s">
        <v>104</v>
      </c>
      <c r="J30" s="13"/>
      <c r="L30" s="2" t="s">
        <v>105</v>
      </c>
      <c r="M30" s="12" t="s">
        <v>106</v>
      </c>
      <c r="O30" s="2" t="s">
        <v>107</v>
      </c>
      <c r="P30" s="12" t="s">
        <v>108</v>
      </c>
      <c r="S30" s="2" t="s">
        <v>109</v>
      </c>
      <c r="T30" s="14" t="s">
        <v>110</v>
      </c>
      <c r="U30" s="15"/>
      <c r="V30" s="15"/>
      <c r="W30" s="16"/>
    </row>
    <row r="31" spans="1:23" x14ac:dyDescent="0.3">
      <c r="A31" s="1"/>
      <c r="B31" s="4">
        <f>COUNTIF(T2:T6,"&gt;90")</f>
        <v>3</v>
      </c>
      <c r="C31" s="6"/>
      <c r="E31" s="1"/>
      <c r="F31" s="1" t="str">
        <f>IF(T2&gt;85,"Eligible","Not Eligible")</f>
        <v>Eligible</v>
      </c>
      <c r="H31" s="1"/>
      <c r="I31" s="3">
        <f>MEDIAN(R2:R6)</f>
        <v>82</v>
      </c>
      <c r="J31" s="3"/>
      <c r="L31" s="1"/>
      <c r="M31" s="9">
        <f>_xlfn.STDEV.P(S2:S6)</f>
        <v>13.181805642627264</v>
      </c>
      <c r="O31" s="1"/>
      <c r="P31" s="1" t="str">
        <f>_xlfn.CONCAT(O2,"-",Answers!P2)</f>
        <v>1-Rahul</v>
      </c>
      <c r="S31" s="1"/>
      <c r="T31" s="1" t="str">
        <f>LEFT(C2,2)</f>
        <v>Am</v>
      </c>
      <c r="U31" s="1"/>
      <c r="V31" s="1"/>
      <c r="W31" s="1"/>
    </row>
    <row r="32" spans="1:23" x14ac:dyDescent="0.3">
      <c r="E32" s="1"/>
      <c r="F32" s="1" t="str">
        <f>IF(T3&gt;85,"Eligible","Not Eligible")</f>
        <v>Eligible</v>
      </c>
      <c r="O32" s="1"/>
      <c r="P32" s="1" t="str">
        <f>_xlfn.CONCAT(O3,"-",Answers!P3)</f>
        <v>2-Sneha</v>
      </c>
      <c r="S32" s="1"/>
      <c r="T32" s="1" t="str">
        <f t="shared" ref="T32:T35" si="4">LEFT(C3,2)</f>
        <v>Ri</v>
      </c>
      <c r="U32" s="1"/>
      <c r="V32" s="1"/>
      <c r="W32" s="1"/>
    </row>
    <row r="33" spans="1:23" x14ac:dyDescent="0.3">
      <c r="E33" s="1"/>
      <c r="F33" s="1" t="str">
        <f>IF(T4&gt;85,"Eligible","Not Eligible")</f>
        <v>Not Eligible</v>
      </c>
      <c r="O33" s="1"/>
      <c r="P33" s="1" t="str">
        <f>_xlfn.CONCAT(O4,"-",Answers!P4)</f>
        <v>3-Arjun</v>
      </c>
      <c r="S33" s="1"/>
      <c r="T33" s="1" t="str">
        <f t="shared" si="4"/>
        <v>Ku</v>
      </c>
      <c r="U33" s="1"/>
      <c r="V33" s="1"/>
      <c r="W33" s="1"/>
    </row>
    <row r="34" spans="1:23" x14ac:dyDescent="0.3">
      <c r="E34" s="1"/>
      <c r="F34" s="1" t="str">
        <f>IF(T5&gt;85,"Eligible","Not Eligible")</f>
        <v>Eligible</v>
      </c>
      <c r="O34" s="1"/>
      <c r="P34" s="1" t="str">
        <f>_xlfn.CONCAT(O5,"-",Answers!P5)</f>
        <v>4-Pooja</v>
      </c>
      <c r="S34" s="1"/>
      <c r="T34" s="1" t="str">
        <f t="shared" si="4"/>
        <v>Ne</v>
      </c>
      <c r="U34" s="1"/>
      <c r="V34" s="1"/>
      <c r="W34" s="1"/>
    </row>
    <row r="35" spans="1:23" x14ac:dyDescent="0.3">
      <c r="E35" s="1"/>
      <c r="F35" s="1" t="str">
        <f>IF(T6&gt;85,"Eligible","Not Eligible")</f>
        <v>Not Eligible</v>
      </c>
      <c r="O35" s="1"/>
      <c r="P35" s="1" t="str">
        <f>_xlfn.CONCAT(O6,"-",Answers!P6)</f>
        <v>5-Vikas</v>
      </c>
      <c r="S35" s="1"/>
      <c r="T35" s="1" t="str">
        <f t="shared" si="4"/>
        <v>Am</v>
      </c>
      <c r="U35" s="1"/>
      <c r="V35" s="1"/>
      <c r="W35" s="1"/>
    </row>
    <row r="38" spans="1:23" x14ac:dyDescent="0.3">
      <c r="A38" s="2" t="s">
        <v>111</v>
      </c>
      <c r="B38" s="12" t="s">
        <v>77</v>
      </c>
      <c r="D38" s="2" t="s">
        <v>112</v>
      </c>
      <c r="E38" s="14" t="s">
        <v>113</v>
      </c>
      <c r="F38" s="15"/>
      <c r="G38" s="15"/>
      <c r="H38" s="15"/>
      <c r="I38" s="15"/>
      <c r="J38" s="15"/>
      <c r="K38" s="16"/>
      <c r="M38" s="2" t="s">
        <v>114</v>
      </c>
      <c r="N38" s="12" t="s">
        <v>115</v>
      </c>
      <c r="Q38" s="2" t="s">
        <v>116</v>
      </c>
      <c r="R38" s="12" t="s">
        <v>117</v>
      </c>
    </row>
    <row r="39" spans="1:23" x14ac:dyDescent="0.3">
      <c r="A39" s="1"/>
      <c r="B39" s="1">
        <v>106200</v>
      </c>
      <c r="D39" s="1"/>
      <c r="E39" s="1" cm="1">
        <f t="array" ref="E39:K40">_xlfn._xlws.FILTER(A2:G7,(D2:D7="Laptop")*(E2:E7&gt;1))</f>
        <v>301</v>
      </c>
      <c r="F39" s="1" t="str">
        <v>North</v>
      </c>
      <c r="G39" s="1" t="str">
        <v>Amit</v>
      </c>
      <c r="H39" s="1" t="str">
        <v>Laptop</v>
      </c>
      <c r="I39" s="1">
        <v>2</v>
      </c>
      <c r="J39" s="1">
        <v>45000</v>
      </c>
      <c r="K39" s="1">
        <v>45662</v>
      </c>
      <c r="M39" s="1"/>
      <c r="N39" s="1">
        <f>COUNTIFS(D2:D7,"=Laptop",B2:B7,"=North")</f>
        <v>1</v>
      </c>
      <c r="Q39" s="1"/>
      <c r="R39" s="1">
        <f>ROUND(F2,-3)</f>
        <v>45000</v>
      </c>
    </row>
    <row r="40" spans="1:23" x14ac:dyDescent="0.3">
      <c r="A40" s="1"/>
      <c r="B40" s="1">
        <v>84000</v>
      </c>
      <c r="D40" s="1"/>
      <c r="E40" s="1">
        <v>306</v>
      </c>
      <c r="F40" s="1" t="str">
        <v>South</v>
      </c>
      <c r="G40" s="1" t="str">
        <v>Riya</v>
      </c>
      <c r="H40" s="1" t="str">
        <v>Laptop</v>
      </c>
      <c r="I40" s="1">
        <v>2</v>
      </c>
      <c r="J40" s="1">
        <v>45000</v>
      </c>
      <c r="K40" s="1" t="str">
        <v>18-01-2025</v>
      </c>
      <c r="Q40" s="1"/>
      <c r="R40" s="1">
        <f t="shared" ref="R40:R43" si="5">ROUND(F3,-3)</f>
        <v>15000</v>
      </c>
    </row>
    <row r="41" spans="1:23" x14ac:dyDescent="0.3">
      <c r="A41" s="1"/>
      <c r="B41" s="1">
        <v>60480</v>
      </c>
      <c r="Q41" s="1"/>
      <c r="R41" s="1">
        <f t="shared" si="5"/>
        <v>18000</v>
      </c>
    </row>
    <row r="42" spans="1:23" x14ac:dyDescent="0.3">
      <c r="A42" s="1"/>
      <c r="B42" s="1">
        <v>53100</v>
      </c>
      <c r="Q42" s="1"/>
      <c r="R42" s="1">
        <f t="shared" si="5"/>
        <v>45000</v>
      </c>
    </row>
    <row r="43" spans="1:23" x14ac:dyDescent="0.3">
      <c r="A43" s="1"/>
      <c r="B43" s="1">
        <v>67200</v>
      </c>
      <c r="Q43" s="1"/>
      <c r="R43" s="1">
        <f t="shared" si="5"/>
        <v>15000</v>
      </c>
    </row>
    <row r="44" spans="1:23" x14ac:dyDescent="0.3">
      <c r="A44" s="1"/>
      <c r="B44" s="1">
        <v>106200</v>
      </c>
    </row>
  </sheetData>
  <mergeCells count="18">
    <mergeCell ref="U22:V22"/>
    <mergeCell ref="B31:C31"/>
    <mergeCell ref="I30:J30"/>
    <mergeCell ref="I31:J31"/>
    <mergeCell ref="T30:W30"/>
    <mergeCell ref="E38:K38"/>
    <mergeCell ref="P21:Q21"/>
    <mergeCell ref="U21:V21"/>
    <mergeCell ref="B30:C30"/>
    <mergeCell ref="K13:M13"/>
    <mergeCell ref="P13:R13"/>
    <mergeCell ref="P22:Q22"/>
    <mergeCell ref="P23:Q23"/>
    <mergeCell ref="P24:Q24"/>
    <mergeCell ref="P25:Q25"/>
    <mergeCell ref="P26:Q26"/>
    <mergeCell ref="K12:M12"/>
    <mergeCell ref="P12:R12"/>
  </mergeCells>
  <conditionalFormatting sqref="B39:B44">
    <cfRule type="cellIs" dxfId="0" priority="1" operator="greaterThan">
      <formula>60000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Patel</cp:lastModifiedBy>
  <dcterms:created xsi:type="dcterms:W3CDTF">2025-12-20T09:26:06Z</dcterms:created>
  <dcterms:modified xsi:type="dcterms:W3CDTF">2026-07-13T10:14:56Z</dcterms:modified>
</cp:coreProperties>
</file>