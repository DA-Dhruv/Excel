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4\Desktop\DA-18 Dhruv\"/>
    </mc:Choice>
  </mc:AlternateContent>
  <xr:revisionPtr revIDLastSave="0" documentId="8_{B297FBE9-8107-4D7F-BC37-93B31A92AA62}" xr6:coauthVersionLast="47" xr6:coauthVersionMax="47" xr10:uidLastSave="{00000000-0000-0000-0000-000000000000}"/>
  <bookViews>
    <workbookView xWindow="-120" yWindow="-120" windowWidth="20730" windowHeight="11040" activeTab="2" xr2:uid="{D41F825F-2C76-474D-A935-C3D9E01EF23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" i="3" l="1"/>
  <c r="J4" i="3"/>
  <c r="J5" i="3"/>
  <c r="J11" i="3"/>
  <c r="J8" i="3"/>
  <c r="J9" i="2"/>
  <c r="J10" i="2"/>
  <c r="J6" i="2"/>
  <c r="J3" i="2"/>
  <c r="K15" i="1"/>
  <c r="K12" i="1"/>
  <c r="K9" i="1"/>
  <c r="K6" i="1"/>
  <c r="K3" i="1"/>
</calcChain>
</file>

<file path=xl/sharedStrings.xml><?xml version="1.0" encoding="utf-8"?>
<sst xmlns="http://schemas.openxmlformats.org/spreadsheetml/2006/main" count="121" uniqueCount="40">
  <si>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</si>
  <si>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</si>
  <si>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</si>
  <si>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</si>
  <si>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</si>
  <si>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</si>
  <si>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</si>
  <si>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</si>
  <si>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</si>
  <si>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</si>
  <si>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</si>
  <si>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</si>
  <si>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</si>
  <si>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</si>
  <si>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</si>
  <si>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</si>
  <si>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</si>
  <si>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</si>
  <si>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</si>
  <si>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</si>
  <si>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</si>
  <si>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</si>
  <si>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</si>
  <si>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</si>
  <si>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</si>
  <si>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</si>
  <si>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</si>
  <si>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</si>
  <si>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</si>
  <si>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</si>
  <si>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</si>
  <si>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</si>
  <si>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</si>
  <si>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 ID</t>
  </si>
  <si>
    <t xml:space="preserve">Name </t>
  </si>
  <si>
    <t>E110</t>
  </si>
  <si>
    <t>Joining Year</t>
  </si>
  <si>
    <t>Bonus %</t>
  </si>
  <si>
    <t>Bonus Amount</t>
  </si>
  <si>
    <t>E99999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</si>
</sst>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9" fontId="3" fillId="2" borderId="1" xfId="0" applyNumberFormat="1" applyFont="1" applyFill="1" applyBorder="1" applyAlignment="1">
      <alignment horizontal="right" vertical="center" wrapText="1" indent="1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CB6-2995-45EF-BCDB-9021E4FA296E}">
  <dimension ref="A1:K15"/>
  <sheetViews>
    <sheetView zoomScaleNormal="100" workbookViewId="0">
      <selection activeCell="K9" sqref="K9"/>
    </sheetView>
  </sheetViews>
  <sheetFormatPr defaultRowHeight="15" x14ac:dyDescent="0.25"/>
  <cols>
    <col min="1" max="1" width="10.5703125" bestFit="1" customWidth="1"/>
    <col min="2" max="2" width="16.7109375" bestFit="1" customWidth="1"/>
    <col min="3" max="3" width="14.7109375" bestFit="1" customWidth="1"/>
    <col min="4" max="4" width="13.5703125" bestFit="1" customWidth="1"/>
    <col min="5" max="5" width="9.5703125" bestFit="1" customWidth="1"/>
    <col min="6" max="6" width="15.85546875" bestFit="1" customWidth="1"/>
    <col min="10" max="10" width="11" bestFit="1" customWidth="1"/>
    <col min="11" max="11" width="11.7109375" bestFit="1" customWidth="1"/>
  </cols>
  <sheetData>
    <row r="1" spans="1:11" ht="17.25" x14ac:dyDescent="0.25">
      <c r="A1" s="6" t="s">
        <v>33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</row>
    <row r="2" spans="1:11" ht="17.25" x14ac:dyDescent="0.25">
      <c r="A2" s="2" t="s">
        <v>6</v>
      </c>
      <c r="B2" s="3" t="s">
        <v>7</v>
      </c>
      <c r="C2" s="3" t="s">
        <v>8</v>
      </c>
      <c r="D2" s="3" t="s">
        <v>9</v>
      </c>
      <c r="E2" s="2">
        <v>45000</v>
      </c>
      <c r="F2" s="2">
        <v>2019</v>
      </c>
      <c r="J2" s="8" t="s">
        <v>33</v>
      </c>
      <c r="K2" s="8" t="s">
        <v>1</v>
      </c>
    </row>
    <row r="3" spans="1:11" ht="17.25" x14ac:dyDescent="0.25">
      <c r="A3" s="4" t="s">
        <v>10</v>
      </c>
      <c r="B3" s="5" t="s">
        <v>11</v>
      </c>
      <c r="C3" s="5" t="s">
        <v>12</v>
      </c>
      <c r="D3" s="5" t="s">
        <v>13</v>
      </c>
      <c r="E3" s="4">
        <v>52000</v>
      </c>
      <c r="F3" s="4">
        <v>2018</v>
      </c>
      <c r="J3" s="1" t="s">
        <v>35</v>
      </c>
      <c r="K3" s="1" t="str">
        <f>IFERROR(VLOOKUP(J3,A1:F9,2,0),"Not Found")</f>
        <v>Not Found</v>
      </c>
    </row>
    <row r="4" spans="1:11" ht="17.25" x14ac:dyDescent="0.25">
      <c r="A4" s="2" t="s">
        <v>14</v>
      </c>
      <c r="B4" s="3" t="s">
        <v>15</v>
      </c>
      <c r="C4" s="3" t="s">
        <v>16</v>
      </c>
      <c r="D4" s="3" t="s">
        <v>17</v>
      </c>
      <c r="E4" s="2">
        <v>65000</v>
      </c>
      <c r="F4" s="2">
        <v>2020</v>
      </c>
    </row>
    <row r="5" spans="1:11" ht="17.25" x14ac:dyDescent="0.25">
      <c r="A5" s="4" t="s">
        <v>18</v>
      </c>
      <c r="B5" s="5" t="s">
        <v>19</v>
      </c>
      <c r="C5" s="5" t="s">
        <v>20</v>
      </c>
      <c r="D5" s="5" t="s">
        <v>21</v>
      </c>
      <c r="E5" s="4">
        <v>58000</v>
      </c>
      <c r="F5" s="4">
        <v>2017</v>
      </c>
      <c r="J5" s="8" t="s">
        <v>33</v>
      </c>
      <c r="K5" s="8" t="s">
        <v>2</v>
      </c>
    </row>
    <row r="6" spans="1:11" ht="17.25" x14ac:dyDescent="0.25">
      <c r="A6" s="2" t="s">
        <v>22</v>
      </c>
      <c r="B6" s="3" t="s">
        <v>23</v>
      </c>
      <c r="C6" s="3" t="s">
        <v>24</v>
      </c>
      <c r="D6" s="3" t="s">
        <v>9</v>
      </c>
      <c r="E6" s="2">
        <v>48000</v>
      </c>
      <c r="F6" s="2">
        <v>2021</v>
      </c>
      <c r="J6" s="1" t="s">
        <v>14</v>
      </c>
      <c r="K6" s="1" t="str">
        <f>IFERROR(VLOOKUP(J6,A1:F9,3,0),"Not Found")</f>
        <v>IT</v>
      </c>
    </row>
    <row r="7" spans="1:11" ht="17.25" x14ac:dyDescent="0.25">
      <c r="A7" s="4" t="s">
        <v>25</v>
      </c>
      <c r="B7" s="5" t="s">
        <v>26</v>
      </c>
      <c r="C7" s="5" t="s">
        <v>16</v>
      </c>
      <c r="D7" s="5" t="s">
        <v>27</v>
      </c>
      <c r="E7" s="4">
        <v>62000</v>
      </c>
      <c r="F7" s="4">
        <v>2019</v>
      </c>
    </row>
    <row r="8" spans="1:11" ht="17.25" x14ac:dyDescent="0.25">
      <c r="A8" s="2" t="s">
        <v>28</v>
      </c>
      <c r="B8" s="3" t="s">
        <v>29</v>
      </c>
      <c r="C8" s="3" t="s">
        <v>8</v>
      </c>
      <c r="D8" s="3" t="s">
        <v>30</v>
      </c>
      <c r="E8" s="2">
        <v>47000</v>
      </c>
      <c r="F8" s="2">
        <v>2020</v>
      </c>
      <c r="J8" s="8" t="s">
        <v>34</v>
      </c>
      <c r="K8" s="8" t="s">
        <v>4</v>
      </c>
    </row>
    <row r="9" spans="1:11" ht="17.25" x14ac:dyDescent="0.25">
      <c r="A9" s="4" t="s">
        <v>31</v>
      </c>
      <c r="B9" s="5" t="s">
        <v>32</v>
      </c>
      <c r="C9" s="5" t="s">
        <v>12</v>
      </c>
      <c r="D9" s="5" t="s">
        <v>17</v>
      </c>
      <c r="E9" s="4">
        <v>54000</v>
      </c>
      <c r="F9" s="4">
        <v>2016</v>
      </c>
      <c r="J9" s="1" t="s">
        <v>19</v>
      </c>
      <c r="K9" s="1">
        <f>IFERROR(VLOOKUP(J9,B1:F9,4,0),"Not Found")</f>
        <v>58000</v>
      </c>
    </row>
    <row r="11" spans="1:11" x14ac:dyDescent="0.25">
      <c r="J11" s="8" t="s">
        <v>33</v>
      </c>
      <c r="K11" s="8" t="s">
        <v>3</v>
      </c>
    </row>
    <row r="12" spans="1:11" x14ac:dyDescent="0.25">
      <c r="J12" s="1" t="s">
        <v>28</v>
      </c>
      <c r="K12" s="1" t="str">
        <f>IFERROR(VLOOKUP(J12,A1:F9,4,0),"Not Found")</f>
        <v>Hyderabad</v>
      </c>
    </row>
    <row r="14" spans="1:11" x14ac:dyDescent="0.25">
      <c r="J14" s="8" t="s">
        <v>33</v>
      </c>
      <c r="K14" s="8" t="s">
        <v>36</v>
      </c>
    </row>
    <row r="15" spans="1:11" x14ac:dyDescent="0.25">
      <c r="J15" s="1" t="s">
        <v>6</v>
      </c>
      <c r="K15" s="1">
        <f>IFERROR(VLOOKUP(J15,A1:F9,6,0),"Not Found")</f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BF9C-7135-43B8-B4C6-5CE13C43CE17}">
  <dimension ref="A1:J10"/>
  <sheetViews>
    <sheetView workbookViewId="0">
      <selection activeCell="J10" sqref="J10"/>
    </sheetView>
  </sheetViews>
  <sheetFormatPr defaultRowHeight="15" x14ac:dyDescent="0.25"/>
  <cols>
    <col min="1" max="1" width="18.42578125" customWidth="1"/>
    <col min="2" max="2" width="8.42578125" bestFit="1" customWidth="1"/>
    <col min="3" max="3" width="5.85546875" bestFit="1" customWidth="1"/>
    <col min="4" max="4" width="7" bestFit="1" customWidth="1"/>
    <col min="5" max="5" width="13.42578125" customWidth="1"/>
    <col min="6" max="6" width="14.5703125" customWidth="1"/>
    <col min="9" max="9" width="12.5703125" customWidth="1"/>
    <col min="10" max="10" width="17.140625" customWidth="1"/>
  </cols>
  <sheetData>
    <row r="1" spans="1:10" ht="17.25" x14ac:dyDescent="0.25">
      <c r="A1" s="7" t="s">
        <v>2</v>
      </c>
      <c r="B1" s="6" t="s">
        <v>8</v>
      </c>
      <c r="C1" s="6" t="s">
        <v>12</v>
      </c>
      <c r="D1" s="6" t="s">
        <v>16</v>
      </c>
      <c r="E1" s="6" t="s">
        <v>20</v>
      </c>
      <c r="F1" s="6" t="s">
        <v>24</v>
      </c>
    </row>
    <row r="2" spans="1:10" ht="17.25" x14ac:dyDescent="0.25">
      <c r="A2" s="3" t="s">
        <v>37</v>
      </c>
      <c r="B2" s="9">
        <v>0.1</v>
      </c>
      <c r="C2" s="9">
        <v>0.08</v>
      </c>
      <c r="D2" s="9">
        <v>0.12</v>
      </c>
      <c r="E2" s="9">
        <v>0.15</v>
      </c>
      <c r="F2" s="9">
        <v>0.09</v>
      </c>
      <c r="I2" s="8" t="s">
        <v>2</v>
      </c>
      <c r="J2" s="8" t="s">
        <v>37</v>
      </c>
    </row>
    <row r="3" spans="1:10" x14ac:dyDescent="0.25">
      <c r="I3" s="1" t="s">
        <v>16</v>
      </c>
      <c r="J3" s="10">
        <f>HLOOKUP(I3,A1:F2,2,0)</f>
        <v>0.12</v>
      </c>
    </row>
    <row r="5" spans="1:10" x14ac:dyDescent="0.25">
      <c r="I5" s="8" t="s">
        <v>2</v>
      </c>
      <c r="J5" s="8" t="s">
        <v>37</v>
      </c>
    </row>
    <row r="6" spans="1:10" x14ac:dyDescent="0.25">
      <c r="I6" s="1" t="s">
        <v>20</v>
      </c>
      <c r="J6" s="10">
        <f>HLOOKUP(I6,A1:F2,2,0)</f>
        <v>0.15</v>
      </c>
    </row>
    <row r="8" spans="1:10" x14ac:dyDescent="0.25">
      <c r="I8" s="8" t="s">
        <v>33</v>
      </c>
      <c r="J8" s="8" t="s">
        <v>38</v>
      </c>
    </row>
    <row r="9" spans="1:10" x14ac:dyDescent="0.25">
      <c r="I9" s="1" t="s">
        <v>25</v>
      </c>
      <c r="J9" s="1">
        <f>VLOOKUP(Sheet2!I9,Sheet1!A1:F9,5,0)*HLOOKUP(VLOOKUP(I9,Sheet1!A1:F9,3,0),Sheet2!A1:F2,2,0)</f>
        <v>7440</v>
      </c>
    </row>
    <row r="10" spans="1:10" x14ac:dyDescent="0.25">
      <c r="I10" s="1" t="s">
        <v>18</v>
      </c>
      <c r="J10" s="1">
        <f>IFERROR(VLOOKUP(Sheet2!I10,Sheet1!A1:F9,5,0)*HLOOKUP(VLOOKUP(Sheet2!I10,Sheet1!A1:F9,3,0),Sheet2!A1:F2,2,0),"No Bonus Data")</f>
        <v>8700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70E4-C736-4E5E-8256-CEDA9B9CEA36}">
  <dimension ref="A1:J14"/>
  <sheetViews>
    <sheetView tabSelected="1" workbookViewId="0">
      <selection activeCell="D12" sqref="D12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14.7109375" customWidth="1"/>
    <col min="4" max="4" width="13.5703125" bestFit="1" customWidth="1"/>
    <col min="5" max="5" width="9.5703125" bestFit="1" customWidth="1"/>
    <col min="6" max="6" width="15.85546875" bestFit="1" customWidth="1"/>
    <col min="9" max="9" width="16.28515625" customWidth="1"/>
    <col min="10" max="10" width="21.5703125" customWidth="1"/>
  </cols>
  <sheetData>
    <row r="1" spans="1:10" ht="17.25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</row>
    <row r="2" spans="1:10" ht="17.25" x14ac:dyDescent="0.25">
      <c r="A2" s="2" t="s">
        <v>6</v>
      </c>
      <c r="B2" s="3" t="s">
        <v>7</v>
      </c>
      <c r="C2" s="3" t="s">
        <v>8</v>
      </c>
      <c r="D2" s="3" t="s">
        <v>9</v>
      </c>
      <c r="E2" s="2">
        <v>45000</v>
      </c>
      <c r="F2" s="2">
        <v>2019</v>
      </c>
    </row>
    <row r="3" spans="1:10" ht="17.25" x14ac:dyDescent="0.25">
      <c r="A3" s="4" t="s">
        <v>10</v>
      </c>
      <c r="B3" s="5" t="s">
        <v>11</v>
      </c>
      <c r="C3" s="5" t="s">
        <v>12</v>
      </c>
      <c r="D3" s="5" t="s">
        <v>13</v>
      </c>
      <c r="E3" s="4">
        <v>52000</v>
      </c>
      <c r="F3" s="4">
        <v>2018</v>
      </c>
      <c r="I3" s="8" t="s">
        <v>33</v>
      </c>
      <c r="J3" s="8" t="s">
        <v>4</v>
      </c>
    </row>
    <row r="4" spans="1:10" ht="17.25" x14ac:dyDescent="0.25">
      <c r="A4" s="2" t="s">
        <v>14</v>
      </c>
      <c r="B4" s="3" t="s">
        <v>15</v>
      </c>
      <c r="C4" s="3" t="s">
        <v>16</v>
      </c>
      <c r="D4" s="3" t="s">
        <v>17</v>
      </c>
      <c r="E4" s="2">
        <v>65000</v>
      </c>
      <c r="F4" s="2">
        <v>2020</v>
      </c>
      <c r="I4" s="1" t="s">
        <v>39</v>
      </c>
      <c r="J4" s="1" t="str">
        <f>IFERROR(_xlfn.XLOOKUP(I4,A1:A8,E1:E8),"Employee Not Found")</f>
        <v>Employee Not Found</v>
      </c>
    </row>
    <row r="5" spans="1:10" ht="17.25" x14ac:dyDescent="0.25">
      <c r="A5" s="4" t="s">
        <v>18</v>
      </c>
      <c r="B5" s="5" t="s">
        <v>19</v>
      </c>
      <c r="C5" s="5" t="s">
        <v>20</v>
      </c>
      <c r="D5" s="5" t="s">
        <v>21</v>
      </c>
      <c r="E5" s="4">
        <v>58000</v>
      </c>
      <c r="F5" s="4">
        <v>2017</v>
      </c>
      <c r="I5" s="1" t="s">
        <v>10</v>
      </c>
      <c r="J5" s="1">
        <f>IFERROR(_xlfn.XLOOKUP(I5,A2:A9,E2:E9),"Employee Not Found")</f>
        <v>52000</v>
      </c>
    </row>
    <row r="6" spans="1:10" ht="17.25" x14ac:dyDescent="0.25">
      <c r="A6" s="2" t="s">
        <v>22</v>
      </c>
      <c r="B6" s="3" t="s">
        <v>23</v>
      </c>
      <c r="C6" s="3" t="s">
        <v>24</v>
      </c>
      <c r="D6" s="3" t="s">
        <v>9</v>
      </c>
      <c r="E6" s="2">
        <v>48000</v>
      </c>
      <c r="F6" s="2">
        <v>2021</v>
      </c>
    </row>
    <row r="7" spans="1:10" ht="17.25" x14ac:dyDescent="0.25">
      <c r="A7" s="4" t="s">
        <v>25</v>
      </c>
      <c r="B7" s="5" t="s">
        <v>26</v>
      </c>
      <c r="C7" s="5" t="s">
        <v>16</v>
      </c>
      <c r="D7" s="5" t="s">
        <v>27</v>
      </c>
      <c r="E7" s="4">
        <v>62000</v>
      </c>
      <c r="F7" s="4">
        <v>2019</v>
      </c>
      <c r="I7" s="8" t="s">
        <v>1</v>
      </c>
      <c r="J7" s="8" t="s">
        <v>2</v>
      </c>
    </row>
    <row r="8" spans="1:10" ht="17.25" x14ac:dyDescent="0.25">
      <c r="A8" s="2" t="s">
        <v>28</v>
      </c>
      <c r="B8" s="3" t="s">
        <v>29</v>
      </c>
      <c r="C8" s="3" t="s">
        <v>8</v>
      </c>
      <c r="D8" s="3" t="s">
        <v>30</v>
      </c>
      <c r="E8" s="2">
        <v>47000</v>
      </c>
      <c r="F8" s="2">
        <v>2020</v>
      </c>
      <c r="I8" s="1" t="s">
        <v>7</v>
      </c>
      <c r="J8" s="1" t="str">
        <f>_xlfn.XLOOKUP(I8,B2:B9,C2:C9)</f>
        <v>Sales</v>
      </c>
    </row>
    <row r="9" spans="1:10" ht="17.25" x14ac:dyDescent="0.25">
      <c r="A9" s="4" t="s">
        <v>31</v>
      </c>
      <c r="B9" s="5" t="s">
        <v>32</v>
      </c>
      <c r="C9" s="5" t="s">
        <v>12</v>
      </c>
      <c r="D9" s="5" t="s">
        <v>17</v>
      </c>
      <c r="E9" s="4">
        <v>54000</v>
      </c>
      <c r="F9" s="4">
        <v>2016</v>
      </c>
    </row>
    <row r="10" spans="1:10" x14ac:dyDescent="0.25">
      <c r="I10" s="8" t="s">
        <v>1</v>
      </c>
      <c r="J10" s="8" t="s">
        <v>3</v>
      </c>
    </row>
    <row r="11" spans="1:10" x14ac:dyDescent="0.25">
      <c r="I11" s="1" t="s">
        <v>15</v>
      </c>
      <c r="J11" s="1" t="str">
        <f>_xlfn.XLOOKUP(I11,B2:B9,D2:D9)</f>
        <v>Bangalore</v>
      </c>
    </row>
    <row r="13" spans="1:10" x14ac:dyDescent="0.25">
      <c r="I13" s="8" t="s">
        <v>2</v>
      </c>
      <c r="J13" s="8" t="s">
        <v>37</v>
      </c>
    </row>
    <row r="14" spans="1:10" x14ac:dyDescent="0.25">
      <c r="I14" s="1" t="s">
        <v>16</v>
      </c>
      <c r="J14" s="10">
        <f>_xlfn.XLOOKUP(I14,Sheet2!A1:F1,Sheet2!A2:F2)</f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ASDC24</dc:creator>
  <cp:lastModifiedBy>ASDC24</cp:lastModifiedBy>
  <dcterms:created xsi:type="dcterms:W3CDTF">2026-07-12T07:48:46Z</dcterms:created>
  <dcterms:modified xsi:type="dcterms:W3CDTF">2026-07-12T08:56:11Z</dcterms:modified>
</cp:coreProperties>
</file>