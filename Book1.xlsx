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4\Desktop\DA-18 Dhruv\"/>
    </mc:Choice>
  </mc:AlternateContent>
  <xr:revisionPtr revIDLastSave="0" documentId="8_{127031E5-114F-4DD5-9307-9B32DB576DA3}" xr6:coauthVersionLast="47" xr6:coauthVersionMax="47" xr10:uidLastSave="{00000000-0000-0000-0000-000000000000}"/>
  <bookViews>
    <workbookView xWindow="-120" yWindow="-120" windowWidth="20730" windowHeight="11040" activeTab="7" xr2:uid="{C078FE70-E675-42EA-878C-3BA8CE866B5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2" i="3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" i="7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" i="8"/>
  <c r="G5" i="5"/>
  <c r="G4" i="5"/>
  <c r="G3" i="5"/>
  <c r="C21" i="6"/>
  <c r="C22" i="6"/>
  <c r="D22" i="6"/>
  <c r="E22" i="6"/>
  <c r="F22" i="6"/>
  <c r="D21" i="6"/>
  <c r="E21" i="6"/>
  <c r="F21" i="6"/>
  <c r="B22" i="6"/>
  <c r="B21" i="6"/>
  <c r="G7" i="5"/>
  <c r="G8" i="5"/>
  <c r="C10" i="4"/>
  <c r="C9" i="4"/>
  <c r="C8" i="4"/>
  <c r="C7" i="4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C6" i="3"/>
  <c r="F6" i="3" s="1"/>
  <c r="D7" i="3"/>
  <c r="C7" i="3"/>
  <c r="F7" i="3" s="1"/>
  <c r="C8" i="3"/>
  <c r="F8" i="3" s="1"/>
  <c r="C9" i="3"/>
  <c r="F9" i="3" s="1"/>
  <c r="C10" i="3"/>
  <c r="F10" i="3" s="1"/>
  <c r="C11" i="3"/>
  <c r="F11" i="3" s="1"/>
  <c r="C12" i="3"/>
  <c r="F12" i="3" s="1"/>
  <c r="C13" i="3"/>
  <c r="F13" i="3" s="1"/>
  <c r="C14" i="3"/>
  <c r="F14" i="3" s="1"/>
  <c r="C15" i="3"/>
  <c r="F15" i="3" s="1"/>
  <c r="C16" i="3"/>
  <c r="F16" i="3" s="1"/>
  <c r="C17" i="3"/>
  <c r="F17" i="3" s="1"/>
  <c r="C18" i="3"/>
  <c r="F18" i="3" s="1"/>
  <c r="C19" i="3"/>
  <c r="F19" i="3" s="1"/>
  <c r="C20" i="3"/>
  <c r="F20" i="3" s="1"/>
  <c r="C21" i="3"/>
  <c r="F21" i="3" s="1"/>
  <c r="G5" i="7" l="1"/>
  <c r="G4" i="7"/>
</calcChain>
</file>

<file path=xl/sharedStrings.xml><?xml version="1.0" encoding="utf-8"?>
<sst xmlns="http://schemas.openxmlformats.org/spreadsheetml/2006/main" count="424" uniqueCount="137">
  <si>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</si>
  <si>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</si>
  <si>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</si>
  <si>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</si>
  <si>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</si>
  <si>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</si>
  <si>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</si>
  <si>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</si>
  <si>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</si>
  <si>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</si>
  <si>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</si>
  <si>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</si>
  <si>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</si>
  <si>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</si>
  <si>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</si>
  <si>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</si>
  <si>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</si>
  <si>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</si>
  <si>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</si>
  <si>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</si>
  <si>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</si>
  <si>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</si>
  <si>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</si>
  <si>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</si>
  <si>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</si>
  <si>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</si>
  <si>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</si>
  <si>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</si>
  <si>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</si>
  <si>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</si>
  <si>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</si>
  <si>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</si>
  <si>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</si>
  <si>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DATA</t>
  </si>
  <si>
    <t>MARKETING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</si>
  <si>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</si>
  <si>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</si>
  <si>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</si>
  <si>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</si>
  <si>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</si>
  <si>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</si>
  <si>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</si>
  <si>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</si>
  <si>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</si>
  <si>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</si>
  <si>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</si>
  <si>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</si>
  <si>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</si>
  <si>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</si>
  <si>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</si>
  <si>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</si>
  <si>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</si>
  <si>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</si>
  <si>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</si>
  <si>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</si>
  <si>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</si>
  <si>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</si>
  <si>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</si>
  <si>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</si>
  <si>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</si>
  <si>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</si>
  <si>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</si>
  <si>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</si>
  <si>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</si>
  <si>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</si>
  <si>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</si>
  <si>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</si>
  <si>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</si>
  <si>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</si>
  <si>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</si>
  <si>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</si>
  <si>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</si>
  <si>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</si>
  <si>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</si>
  <si>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Tota Amount</t>
  </si>
  <si>
    <t>Averge Sales</t>
  </si>
  <si>
    <t>Maximum</t>
  </si>
  <si>
    <t>Minimum</t>
  </si>
  <si>
    <t>Employee Name</t>
  </si>
  <si>
    <t>Suresh</t>
  </si>
  <si>
    <t>Meena</t>
  </si>
  <si>
    <t>Karan</t>
  </si>
  <si>
    <t>Ritu</t>
  </si>
  <si>
    <t>Aman</t>
  </si>
  <si>
    <t>Neel</t>
  </si>
  <si>
    <t xml:space="preserve">Average Salary </t>
  </si>
  <si>
    <t>Count Employee</t>
  </si>
  <si>
    <t>Day 1</t>
  </si>
  <si>
    <t>Day 2</t>
  </si>
  <si>
    <t>Day 3</t>
  </si>
  <si>
    <t>Day 4</t>
  </si>
  <si>
    <t>Day 5</t>
  </si>
  <si>
    <t>P</t>
  </si>
  <si>
    <t>A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</si>
  <si>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</si>
  <si>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</si>
  <si>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</si>
  <si>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</si>
  <si>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</si>
  <si>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</si>
  <si>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</si>
  <si>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</si>
  <si>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</si>
  <si>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Sales above 10000</t>
  </si>
  <si>
    <t>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</si>
  <si>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</si>
  <si>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</si>
  <si>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</si>
  <si>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</si>
  <si>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</si>
  <si>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</si>
  <si>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</si>
  <si>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</si>
  <si>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</si>
  <si>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</si>
  <si>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</si>
  <si>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</si>
  <si>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</si>
  <si>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Total Salary per HR</t>
  </si>
  <si>
    <t>Total Salary per IT</t>
  </si>
  <si>
    <t>Total salary per Finance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</si>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</sst>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2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rgb="FF1F2328"/>
      <name val="Segoe U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44" fontId="3" fillId="2" borderId="1" xfId="1" applyFont="1" applyFill="1" applyBorder="1" applyAlignment="1">
      <alignment horizontal="left" vertical="center" wrapText="1" indent="1"/>
    </xf>
    <xf numFmtId="14" fontId="3" fillId="2" borderId="1" xfId="0" applyNumberFormat="1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44" fontId="3" fillId="3" borderId="1" xfId="1" applyFont="1" applyFill="1" applyBorder="1" applyAlignment="1">
      <alignment horizontal="left" vertical="center" wrapText="1" indent="1"/>
    </xf>
    <xf numFmtId="14" fontId="3" fillId="3" borderId="1" xfId="0" applyNumberFormat="1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0" fillId="0" borderId="0" xfId="0" applyBorder="1"/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0" fillId="5" borderId="1" xfId="0" applyFill="1" applyBorder="1"/>
    <xf numFmtId="0" fontId="0" fillId="4" borderId="1" xfId="0" applyFill="1" applyBorder="1"/>
    <xf numFmtId="172" fontId="0" fillId="5" borderId="1" xfId="0" applyNumberFormat="1" applyFill="1" applyBorder="1"/>
    <xf numFmtId="0" fontId="3" fillId="3" borderId="2" xfId="0" applyFont="1" applyFill="1" applyBorder="1" applyAlignment="1">
      <alignment horizontal="left" vertical="center" wrapText="1" indent="1"/>
    </xf>
    <xf numFmtId="0" fontId="0" fillId="4" borderId="1" xfId="0" applyFill="1" applyBorder="1" applyAlignment="1"/>
    <xf numFmtId="0" fontId="0" fillId="5" borderId="1" xfId="0" applyFill="1" applyBorder="1" applyAlignment="1"/>
    <xf numFmtId="9" fontId="3" fillId="2" borderId="1" xfId="2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1003-E91A-4A09-BD92-B6CCC57AC343}">
  <dimension ref="A1:E23"/>
  <sheetViews>
    <sheetView topLeftCell="A4" workbookViewId="0">
      <selection activeCell="H5" sqref="H5"/>
    </sheetView>
  </sheetViews>
  <sheetFormatPr defaultRowHeight="15" x14ac:dyDescent="0.25"/>
  <cols>
    <col min="1" max="1" width="12.7109375" customWidth="1"/>
    <col min="2" max="2" width="18.28515625" customWidth="1"/>
    <col min="3" max="3" width="15" bestFit="1" customWidth="1"/>
    <col min="4" max="4" width="15.5703125" bestFit="1" customWidth="1"/>
    <col min="5" max="5" width="15.42578125" bestFit="1" customWidth="1"/>
  </cols>
  <sheetData>
    <row r="1" spans="1:5" ht="3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x14ac:dyDescent="0.25">
      <c r="A2" s="2" t="s">
        <v>5</v>
      </c>
      <c r="B2" s="2" t="s">
        <v>6</v>
      </c>
      <c r="C2" s="2" t="s">
        <v>33</v>
      </c>
      <c r="D2" s="3">
        <v>32000</v>
      </c>
      <c r="E2" s="4">
        <v>44573</v>
      </c>
    </row>
    <row r="3" spans="1:5" ht="17.25" x14ac:dyDescent="0.25">
      <c r="A3" s="5" t="s">
        <v>8</v>
      </c>
      <c r="B3" s="5" t="s">
        <v>9</v>
      </c>
      <c r="C3" s="2" t="s">
        <v>10</v>
      </c>
      <c r="D3" s="6">
        <v>45000</v>
      </c>
      <c r="E3" s="7">
        <v>44260</v>
      </c>
    </row>
    <row r="4" spans="1:5" ht="17.25" x14ac:dyDescent="0.25">
      <c r="A4" s="2" t="s">
        <v>11</v>
      </c>
      <c r="B4" s="2" t="s">
        <v>12</v>
      </c>
      <c r="C4" s="2" t="s">
        <v>7</v>
      </c>
      <c r="D4" s="3">
        <v>38000</v>
      </c>
      <c r="E4" s="4">
        <v>44030</v>
      </c>
    </row>
    <row r="5" spans="1:5" ht="17.25" x14ac:dyDescent="0.25">
      <c r="A5" s="5" t="s">
        <v>14</v>
      </c>
      <c r="B5" s="5" t="s">
        <v>15</v>
      </c>
      <c r="C5" s="2" t="s">
        <v>34</v>
      </c>
      <c r="D5" s="6">
        <v>52000</v>
      </c>
      <c r="E5" s="7">
        <v>43779</v>
      </c>
    </row>
    <row r="6" spans="1:5" ht="17.25" x14ac:dyDescent="0.25">
      <c r="A6" s="2" t="s">
        <v>16</v>
      </c>
      <c r="B6" s="2" t="s">
        <v>17</v>
      </c>
      <c r="C6" s="2" t="s">
        <v>34</v>
      </c>
      <c r="D6" s="3">
        <v>30000</v>
      </c>
      <c r="E6" s="4">
        <v>45102</v>
      </c>
    </row>
    <row r="7" spans="1:5" ht="17.25" x14ac:dyDescent="0.25">
      <c r="A7" s="2" t="s">
        <v>18</v>
      </c>
      <c r="B7" s="2" t="s">
        <v>6</v>
      </c>
      <c r="C7" s="2" t="s">
        <v>33</v>
      </c>
      <c r="D7" s="3">
        <v>40300</v>
      </c>
      <c r="E7" s="4">
        <v>44573</v>
      </c>
    </row>
    <row r="8" spans="1:5" ht="17.25" x14ac:dyDescent="0.25">
      <c r="A8" s="5" t="s">
        <v>19</v>
      </c>
      <c r="B8" s="5" t="s">
        <v>9</v>
      </c>
      <c r="C8" s="2" t="s">
        <v>7</v>
      </c>
      <c r="D8" s="6">
        <v>40600</v>
      </c>
      <c r="E8" s="7">
        <v>44260</v>
      </c>
    </row>
    <row r="9" spans="1:5" ht="17.25" x14ac:dyDescent="0.25">
      <c r="A9" s="2" t="s">
        <v>20</v>
      </c>
      <c r="B9" s="2" t="s">
        <v>12</v>
      </c>
      <c r="C9" s="2" t="s">
        <v>34</v>
      </c>
      <c r="D9" s="3">
        <v>40900</v>
      </c>
      <c r="E9" s="4">
        <v>44030</v>
      </c>
    </row>
    <row r="10" spans="1:5" ht="17.25" x14ac:dyDescent="0.25">
      <c r="A10" s="5" t="s">
        <v>21</v>
      </c>
      <c r="B10" s="5" t="s">
        <v>15</v>
      </c>
      <c r="C10" s="2" t="s">
        <v>34</v>
      </c>
      <c r="D10" s="6">
        <v>41200</v>
      </c>
      <c r="E10" s="7">
        <v>43779</v>
      </c>
    </row>
    <row r="11" spans="1:5" ht="17.25" x14ac:dyDescent="0.25">
      <c r="A11" s="2" t="s">
        <v>22</v>
      </c>
      <c r="B11" s="2" t="s">
        <v>17</v>
      </c>
      <c r="C11" s="2" t="s">
        <v>34</v>
      </c>
      <c r="D11" s="3">
        <v>41500</v>
      </c>
      <c r="E11" s="4">
        <v>45102</v>
      </c>
    </row>
    <row r="12" spans="1:5" ht="17.25" x14ac:dyDescent="0.25">
      <c r="A12" s="2" t="s">
        <v>23</v>
      </c>
      <c r="B12" s="2" t="s">
        <v>6</v>
      </c>
      <c r="C12" s="2" t="s">
        <v>7</v>
      </c>
      <c r="D12" s="3">
        <v>41800</v>
      </c>
      <c r="E12" s="4">
        <v>44573</v>
      </c>
    </row>
    <row r="13" spans="1:5" ht="17.25" x14ac:dyDescent="0.25">
      <c r="A13" s="5" t="s">
        <v>24</v>
      </c>
      <c r="B13" s="5" t="s">
        <v>9</v>
      </c>
      <c r="C13" s="2" t="s">
        <v>7</v>
      </c>
      <c r="D13" s="6">
        <v>42100</v>
      </c>
      <c r="E13" s="7">
        <v>44260</v>
      </c>
    </row>
    <row r="14" spans="1:5" ht="17.25" x14ac:dyDescent="0.25">
      <c r="A14" s="2" t="s">
        <v>25</v>
      </c>
      <c r="B14" s="2" t="s">
        <v>12</v>
      </c>
      <c r="C14" s="2" t="s">
        <v>34</v>
      </c>
      <c r="D14" s="3">
        <v>42400</v>
      </c>
      <c r="E14" s="4">
        <v>44030</v>
      </c>
    </row>
    <row r="15" spans="1:5" ht="17.25" x14ac:dyDescent="0.25">
      <c r="A15" s="5" t="s">
        <v>26</v>
      </c>
      <c r="B15" s="5" t="s">
        <v>15</v>
      </c>
      <c r="C15" s="2" t="s">
        <v>7</v>
      </c>
      <c r="D15" s="6">
        <v>42700</v>
      </c>
      <c r="E15" s="7">
        <v>43779</v>
      </c>
    </row>
    <row r="16" spans="1:5" ht="17.25" x14ac:dyDescent="0.25">
      <c r="A16" s="2" t="s">
        <v>27</v>
      </c>
      <c r="B16" s="2" t="s">
        <v>17</v>
      </c>
      <c r="C16" s="2" t="s">
        <v>34</v>
      </c>
      <c r="D16" s="3">
        <v>43000</v>
      </c>
      <c r="E16" s="4">
        <v>45102</v>
      </c>
    </row>
    <row r="17" spans="1:5" ht="17.25" x14ac:dyDescent="0.25">
      <c r="A17" s="2" t="s">
        <v>28</v>
      </c>
      <c r="B17" s="2" t="s">
        <v>6</v>
      </c>
      <c r="C17" s="2" t="s">
        <v>34</v>
      </c>
      <c r="D17" s="3">
        <v>43300</v>
      </c>
      <c r="E17" s="4">
        <v>44573</v>
      </c>
    </row>
    <row r="18" spans="1:5" ht="17.25" x14ac:dyDescent="0.25">
      <c r="A18" s="5" t="s">
        <v>29</v>
      </c>
      <c r="B18" s="5" t="s">
        <v>9</v>
      </c>
      <c r="C18" s="2" t="s">
        <v>7</v>
      </c>
      <c r="D18" s="6">
        <v>43600</v>
      </c>
      <c r="E18" s="7">
        <v>44260</v>
      </c>
    </row>
    <row r="19" spans="1:5" ht="17.25" x14ac:dyDescent="0.25">
      <c r="A19" s="2" t="s">
        <v>30</v>
      </c>
      <c r="B19" s="2" t="s">
        <v>12</v>
      </c>
      <c r="C19" s="2" t="s">
        <v>7</v>
      </c>
      <c r="D19" s="3">
        <v>43900</v>
      </c>
      <c r="E19" s="4">
        <v>44030</v>
      </c>
    </row>
    <row r="20" spans="1:5" ht="17.25" x14ac:dyDescent="0.25">
      <c r="A20" s="5" t="s">
        <v>31</v>
      </c>
      <c r="B20" s="5" t="s">
        <v>15</v>
      </c>
      <c r="C20" s="2" t="s">
        <v>33</v>
      </c>
      <c r="D20" s="6">
        <v>44200</v>
      </c>
      <c r="E20" s="7">
        <v>43779</v>
      </c>
    </row>
    <row r="21" spans="1:5" ht="17.25" x14ac:dyDescent="0.25">
      <c r="A21" s="2" t="s">
        <v>32</v>
      </c>
      <c r="B21" s="2" t="s">
        <v>17</v>
      </c>
      <c r="C21" s="2" t="s">
        <v>7</v>
      </c>
      <c r="D21" s="3">
        <v>44500</v>
      </c>
      <c r="E21" s="4">
        <v>45102</v>
      </c>
    </row>
    <row r="22" spans="1:5" ht="17.25" x14ac:dyDescent="0.25">
      <c r="C22" s="8"/>
    </row>
    <row r="23" spans="1:5" ht="17.25" x14ac:dyDescent="0.25">
      <c r="C23" s="8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B252-07E8-4D48-B59E-4BA08E60031F}">
  <dimension ref="A1:F21"/>
  <sheetViews>
    <sheetView workbookViewId="0">
      <selection sqref="A1:F1"/>
    </sheetView>
  </sheetViews>
  <sheetFormatPr defaultRowHeight="15" x14ac:dyDescent="0.25"/>
  <cols>
    <col min="1" max="1" width="32" bestFit="1" customWidth="1"/>
    <col min="2" max="2" width="11.5703125" customWidth="1"/>
    <col min="3" max="3" width="17.28515625" bestFit="1" customWidth="1"/>
    <col min="4" max="4" width="15.85546875" customWidth="1"/>
  </cols>
  <sheetData>
    <row r="1" spans="1:6" ht="69.75" customHeight="1" x14ac:dyDescent="0.25">
      <c r="A1" s="14" t="s">
        <v>35</v>
      </c>
      <c r="B1" s="14" t="s">
        <v>36</v>
      </c>
      <c r="C1" s="14" t="s">
        <v>37</v>
      </c>
      <c r="D1" s="14" t="s">
        <v>38</v>
      </c>
      <c r="E1" s="26" t="s">
        <v>55</v>
      </c>
      <c r="F1" s="26"/>
    </row>
    <row r="2" spans="1:6" ht="17.25" x14ac:dyDescent="0.25">
      <c r="A2" s="11" t="s">
        <v>39</v>
      </c>
      <c r="B2" s="2" t="s">
        <v>40</v>
      </c>
      <c r="C2" s="3">
        <v>45000</v>
      </c>
      <c r="D2" s="2" t="s">
        <v>41</v>
      </c>
      <c r="E2" s="10"/>
      <c r="F2" s="10"/>
    </row>
    <row r="3" spans="1:6" ht="17.25" x14ac:dyDescent="0.25">
      <c r="A3" s="12" t="s">
        <v>42</v>
      </c>
      <c r="B3" s="5" t="s">
        <v>43</v>
      </c>
      <c r="C3" s="6">
        <v>1200</v>
      </c>
      <c r="D3" s="5" t="s">
        <v>44</v>
      </c>
      <c r="E3" s="10"/>
      <c r="F3" s="10"/>
    </row>
    <row r="4" spans="1:6" ht="17.25" x14ac:dyDescent="0.25">
      <c r="A4" s="11" t="s">
        <v>45</v>
      </c>
      <c r="B4" s="2" t="s">
        <v>46</v>
      </c>
      <c r="C4" s="3">
        <v>18000</v>
      </c>
      <c r="D4" s="2" t="s">
        <v>47</v>
      </c>
      <c r="E4" s="10"/>
      <c r="F4" s="10"/>
    </row>
    <row r="5" spans="1:6" ht="17.25" x14ac:dyDescent="0.25">
      <c r="A5" s="12" t="s">
        <v>48</v>
      </c>
      <c r="B5" s="5" t="s">
        <v>49</v>
      </c>
      <c r="C5" s="6">
        <v>62000</v>
      </c>
      <c r="D5" s="5" t="s">
        <v>50</v>
      </c>
      <c r="E5" s="10"/>
      <c r="F5" s="10"/>
    </row>
    <row r="6" spans="1:6" ht="17.25" x14ac:dyDescent="0.25">
      <c r="A6" s="11" t="s">
        <v>51</v>
      </c>
      <c r="B6" s="2" t="s">
        <v>40</v>
      </c>
      <c r="C6" s="3">
        <v>48500</v>
      </c>
      <c r="D6" s="2" t="s">
        <v>41</v>
      </c>
      <c r="E6" s="10"/>
      <c r="F6" s="10"/>
    </row>
    <row r="7" spans="1:6" ht="17.25" x14ac:dyDescent="0.25">
      <c r="A7" s="12" t="s">
        <v>42</v>
      </c>
      <c r="B7" s="5" t="s">
        <v>43</v>
      </c>
      <c r="C7" s="6">
        <v>55280</v>
      </c>
      <c r="D7" s="5" t="s">
        <v>44</v>
      </c>
      <c r="E7" s="10"/>
      <c r="F7" s="10"/>
    </row>
    <row r="8" spans="1:6" ht="17.25" x14ac:dyDescent="0.25">
      <c r="A8" s="11" t="s">
        <v>45</v>
      </c>
      <c r="B8" s="2" t="s">
        <v>46</v>
      </c>
      <c r="C8" s="3">
        <v>62060</v>
      </c>
      <c r="D8" s="2" t="s">
        <v>47</v>
      </c>
      <c r="E8" s="10"/>
      <c r="F8" s="10"/>
    </row>
    <row r="9" spans="1:6" ht="17.25" x14ac:dyDescent="0.25">
      <c r="A9" s="12" t="s">
        <v>48</v>
      </c>
      <c r="B9" s="5" t="s">
        <v>49</v>
      </c>
      <c r="C9" s="6">
        <v>68840</v>
      </c>
      <c r="D9" s="5" t="s">
        <v>50</v>
      </c>
      <c r="E9" s="10"/>
      <c r="F9" s="10"/>
    </row>
    <row r="10" spans="1:6" ht="17.25" x14ac:dyDescent="0.25">
      <c r="A10" s="11" t="s">
        <v>52</v>
      </c>
      <c r="B10" s="2" t="s">
        <v>40</v>
      </c>
      <c r="C10" s="3">
        <v>75620</v>
      </c>
      <c r="D10" s="2" t="s">
        <v>41</v>
      </c>
      <c r="E10" s="10"/>
      <c r="F10" s="10"/>
    </row>
    <row r="11" spans="1:6" ht="17.25" x14ac:dyDescent="0.25">
      <c r="A11" s="12" t="s">
        <v>42</v>
      </c>
      <c r="B11" s="5" t="s">
        <v>43</v>
      </c>
      <c r="C11" s="6">
        <v>82400</v>
      </c>
      <c r="D11" s="5" t="s">
        <v>44</v>
      </c>
      <c r="E11" s="10"/>
      <c r="F11" s="10"/>
    </row>
    <row r="12" spans="1:6" ht="17.25" x14ac:dyDescent="0.25">
      <c r="A12" s="11" t="s">
        <v>45</v>
      </c>
      <c r="B12" s="2" t="s">
        <v>46</v>
      </c>
      <c r="C12" s="3">
        <v>89180</v>
      </c>
      <c r="D12" s="2" t="s">
        <v>47</v>
      </c>
      <c r="E12" s="10"/>
      <c r="F12" s="10"/>
    </row>
    <row r="13" spans="1:6" ht="17.25" x14ac:dyDescent="0.25">
      <c r="A13" s="12" t="s">
        <v>48</v>
      </c>
      <c r="B13" s="5" t="s">
        <v>49</v>
      </c>
      <c r="C13" s="6">
        <v>95960</v>
      </c>
      <c r="D13" s="5" t="s">
        <v>50</v>
      </c>
      <c r="E13" s="10"/>
      <c r="F13" s="10"/>
    </row>
    <row r="14" spans="1:6" ht="17.25" x14ac:dyDescent="0.25">
      <c r="A14" s="11" t="s">
        <v>53</v>
      </c>
      <c r="B14" s="2" t="s">
        <v>40</v>
      </c>
      <c r="C14" s="3">
        <v>102740</v>
      </c>
      <c r="D14" s="2" t="s">
        <v>41</v>
      </c>
      <c r="E14" s="10"/>
      <c r="F14" s="10"/>
    </row>
    <row r="15" spans="1:6" ht="17.25" x14ac:dyDescent="0.25">
      <c r="A15" s="12" t="s">
        <v>42</v>
      </c>
      <c r="B15" s="5" t="s">
        <v>43</v>
      </c>
      <c r="C15" s="6">
        <v>109520</v>
      </c>
      <c r="D15" s="5" t="s">
        <v>44</v>
      </c>
      <c r="E15" s="10"/>
      <c r="F15" s="10"/>
    </row>
    <row r="16" spans="1:6" ht="17.25" x14ac:dyDescent="0.25">
      <c r="A16" s="11" t="s">
        <v>45</v>
      </c>
      <c r="B16" s="2" t="s">
        <v>46</v>
      </c>
      <c r="C16" s="3">
        <v>116300</v>
      </c>
      <c r="D16" s="2" t="s">
        <v>47</v>
      </c>
      <c r="E16" s="10"/>
      <c r="F16" s="10"/>
    </row>
    <row r="17" spans="1:6" ht="17.25" x14ac:dyDescent="0.25">
      <c r="A17" s="12" t="s">
        <v>48</v>
      </c>
      <c r="B17" s="5" t="s">
        <v>49</v>
      </c>
      <c r="C17" s="6">
        <v>123080</v>
      </c>
      <c r="D17" s="5" t="s">
        <v>50</v>
      </c>
      <c r="E17" s="10"/>
      <c r="F17" s="10"/>
    </row>
    <row r="18" spans="1:6" ht="17.25" x14ac:dyDescent="0.25">
      <c r="A18" s="11" t="s">
        <v>54</v>
      </c>
      <c r="B18" s="2" t="s">
        <v>40</v>
      </c>
      <c r="C18" s="3">
        <v>129860</v>
      </c>
      <c r="D18" s="2" t="s">
        <v>41</v>
      </c>
      <c r="E18" s="10"/>
      <c r="F18" s="10"/>
    </row>
    <row r="19" spans="1:6" ht="17.25" x14ac:dyDescent="0.25">
      <c r="A19" s="12" t="s">
        <v>42</v>
      </c>
      <c r="B19" s="5" t="s">
        <v>43</v>
      </c>
      <c r="C19" s="6">
        <v>136640</v>
      </c>
      <c r="D19" s="5" t="s">
        <v>44</v>
      </c>
      <c r="E19" s="10"/>
      <c r="F19" s="10"/>
    </row>
    <row r="20" spans="1:6" ht="17.25" x14ac:dyDescent="0.25">
      <c r="A20" s="11" t="s">
        <v>45</v>
      </c>
      <c r="B20" s="2" t="s">
        <v>46</v>
      </c>
      <c r="C20" s="3">
        <v>143420</v>
      </c>
      <c r="D20" s="2" t="s">
        <v>47</v>
      </c>
      <c r="E20" s="10"/>
      <c r="F20" s="10"/>
    </row>
    <row r="21" spans="1:6" ht="17.25" x14ac:dyDescent="0.25">
      <c r="A21" s="12" t="s">
        <v>48</v>
      </c>
      <c r="B21" s="5" t="s">
        <v>49</v>
      </c>
      <c r="C21" s="6">
        <v>150200</v>
      </c>
      <c r="D21" s="5" t="s">
        <v>50</v>
      </c>
      <c r="E21" s="10"/>
      <c r="F21" s="10"/>
    </row>
  </sheetData>
  <mergeCells count="21">
    <mergeCell ref="E16:F16"/>
    <mergeCell ref="E17:F17"/>
    <mergeCell ref="E18:F18"/>
    <mergeCell ref="E19:F19"/>
    <mergeCell ref="E20:F20"/>
    <mergeCell ref="E21:F21"/>
    <mergeCell ref="E10:F10"/>
    <mergeCell ref="E11:F11"/>
    <mergeCell ref="E12:F12"/>
    <mergeCell ref="E13:F13"/>
    <mergeCell ref="E14:F14"/>
    <mergeCell ref="E15:F15"/>
    <mergeCell ref="E1:F1"/>
    <mergeCell ref="E2:F2"/>
    <mergeCell ref="E3:F3"/>
    <mergeCell ref="E4:F4"/>
    <mergeCell ref="E5:F5"/>
    <mergeCell ref="E6:F6"/>
    <mergeCell ref="E7:F7"/>
    <mergeCell ref="E8:F8"/>
    <mergeCell ref="E9:F9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9561-E85C-44A3-ACC0-99ABCB8D4450}">
  <dimension ref="A1:F21"/>
  <sheetViews>
    <sheetView workbookViewId="0">
      <selection activeCell="G7" sqref="G7"/>
    </sheetView>
  </sheetViews>
  <sheetFormatPr defaultRowHeight="15" x14ac:dyDescent="0.25"/>
  <cols>
    <col min="1" max="1" width="9.7109375" bestFit="1" customWidth="1"/>
    <col min="2" max="2" width="10" bestFit="1" customWidth="1"/>
    <col min="3" max="3" width="12.28515625" customWidth="1"/>
    <col min="4" max="4" width="13.5703125" customWidth="1"/>
    <col min="5" max="5" width="15.140625" customWidth="1"/>
    <col min="6" max="6" width="16" bestFit="1" customWidth="1"/>
  </cols>
  <sheetData>
    <row r="1" spans="1:6" ht="34.5" x14ac:dyDescent="0.25">
      <c r="A1" s="14" t="s">
        <v>56</v>
      </c>
      <c r="B1" s="14" t="s">
        <v>57</v>
      </c>
      <c r="C1" s="14" t="s">
        <v>58</v>
      </c>
      <c r="D1" s="14" t="s">
        <v>59</v>
      </c>
      <c r="E1" s="14" t="s">
        <v>60</v>
      </c>
      <c r="F1" s="14" t="s">
        <v>61</v>
      </c>
    </row>
    <row r="2" spans="1:6" ht="17.25" x14ac:dyDescent="0.25">
      <c r="A2" s="15">
        <v>1</v>
      </c>
      <c r="B2" s="2" t="s">
        <v>62</v>
      </c>
      <c r="C2" s="2">
        <v>78</v>
      </c>
      <c r="D2" s="2">
        <v>82</v>
      </c>
      <c r="E2" s="2">
        <v>74</v>
      </c>
      <c r="F2" s="23">
        <f>SUM(C2:E2)/300</f>
        <v>0.78</v>
      </c>
    </row>
    <row r="3" spans="1:6" ht="17.25" x14ac:dyDescent="0.25">
      <c r="A3" s="24">
        <v>2</v>
      </c>
      <c r="B3" s="5" t="s">
        <v>63</v>
      </c>
      <c r="C3" s="5">
        <v>65</v>
      </c>
      <c r="D3" s="5">
        <v>70</v>
      </c>
      <c r="E3" s="5">
        <v>68</v>
      </c>
      <c r="F3" s="23">
        <f t="shared" ref="F3:F21" si="0">SUM(C3:E3)/300</f>
        <v>0.67666666666666664</v>
      </c>
    </row>
    <row r="4" spans="1:6" ht="17.25" x14ac:dyDescent="0.25">
      <c r="A4" s="15">
        <v>3</v>
      </c>
      <c r="B4" s="2" t="s">
        <v>64</v>
      </c>
      <c r="C4" s="2">
        <v>90</v>
      </c>
      <c r="D4" s="2">
        <v>88</v>
      </c>
      <c r="E4" s="2">
        <v>92</v>
      </c>
      <c r="F4" s="23">
        <f t="shared" si="0"/>
        <v>0.9</v>
      </c>
    </row>
    <row r="5" spans="1:6" ht="17.25" x14ac:dyDescent="0.25">
      <c r="A5" s="24">
        <v>4</v>
      </c>
      <c r="B5" s="5" t="s">
        <v>65</v>
      </c>
      <c r="C5" s="5">
        <v>35</v>
      </c>
      <c r="D5" s="5">
        <v>40</v>
      </c>
      <c r="E5" s="5">
        <v>38</v>
      </c>
      <c r="F5" s="23">
        <f t="shared" si="0"/>
        <v>0.37666666666666665</v>
      </c>
    </row>
    <row r="6" spans="1:6" ht="17.25" x14ac:dyDescent="0.25">
      <c r="A6" s="15">
        <v>5</v>
      </c>
      <c r="B6" s="2" t="s">
        <v>66</v>
      </c>
      <c r="C6" s="2">
        <f ca="1">RANDBETWEEN(30,90)</f>
        <v>64</v>
      </c>
      <c r="D6" s="2">
        <v>60</v>
      </c>
      <c r="E6" s="2">
        <v>58</v>
      </c>
      <c r="F6" s="23">
        <f t="shared" ca="1" si="0"/>
        <v>0.60666666666666669</v>
      </c>
    </row>
    <row r="7" spans="1:6" ht="17.25" x14ac:dyDescent="0.25">
      <c r="A7" s="15">
        <v>6</v>
      </c>
      <c r="B7" s="2" t="s">
        <v>62</v>
      </c>
      <c r="C7" s="2">
        <f t="shared" ref="C7:E21" ca="1" si="1">RANDBETWEEN(30,90)</f>
        <v>82</v>
      </c>
      <c r="D7" s="25">
        <f ca="1">RANDBETWEEN(30,90)</f>
        <v>63</v>
      </c>
      <c r="E7" s="25">
        <v>35</v>
      </c>
      <c r="F7" s="23">
        <f t="shared" ca="1" si="0"/>
        <v>0.6</v>
      </c>
    </row>
    <row r="8" spans="1:6" ht="17.25" x14ac:dyDescent="0.25">
      <c r="A8" s="24">
        <v>7</v>
      </c>
      <c r="B8" s="5" t="s">
        <v>63</v>
      </c>
      <c r="C8" s="2">
        <f t="shared" ca="1" si="1"/>
        <v>33</v>
      </c>
      <c r="D8" s="25">
        <f t="shared" ca="1" si="1"/>
        <v>45</v>
      </c>
      <c r="E8" s="25">
        <v>69</v>
      </c>
      <c r="F8" s="23">
        <f t="shared" ca="1" si="0"/>
        <v>0.49</v>
      </c>
    </row>
    <row r="9" spans="1:6" ht="17.25" x14ac:dyDescent="0.25">
      <c r="A9" s="15">
        <v>8</v>
      </c>
      <c r="B9" s="2" t="s">
        <v>64</v>
      </c>
      <c r="C9" s="2">
        <f t="shared" ca="1" si="1"/>
        <v>88</v>
      </c>
      <c r="D9" s="25">
        <f t="shared" ca="1" si="1"/>
        <v>34</v>
      </c>
      <c r="E9" s="25">
        <v>87</v>
      </c>
      <c r="F9" s="23">
        <f t="shared" ca="1" si="0"/>
        <v>0.69666666666666666</v>
      </c>
    </row>
    <row r="10" spans="1:6" ht="17.25" x14ac:dyDescent="0.25">
      <c r="A10" s="24">
        <v>9</v>
      </c>
      <c r="B10" s="5" t="s">
        <v>65</v>
      </c>
      <c r="C10" s="2">
        <f t="shared" ca="1" si="1"/>
        <v>33</v>
      </c>
      <c r="D10" s="25">
        <f t="shared" ca="1" si="1"/>
        <v>84</v>
      </c>
      <c r="E10" s="25">
        <v>32</v>
      </c>
      <c r="F10" s="23">
        <f t="shared" ca="1" si="0"/>
        <v>0.49666666666666665</v>
      </c>
    </row>
    <row r="11" spans="1:6" ht="17.25" x14ac:dyDescent="0.25">
      <c r="A11" s="15">
        <v>10</v>
      </c>
      <c r="B11" s="2" t="s">
        <v>66</v>
      </c>
      <c r="C11" s="2">
        <f t="shared" ca="1" si="1"/>
        <v>71</v>
      </c>
      <c r="D11" s="25">
        <f t="shared" ca="1" si="1"/>
        <v>69</v>
      </c>
      <c r="E11" s="25">
        <v>73</v>
      </c>
      <c r="F11" s="23">
        <f t="shared" ca="1" si="0"/>
        <v>0.71</v>
      </c>
    </row>
    <row r="12" spans="1:6" ht="17.25" x14ac:dyDescent="0.25">
      <c r="A12" s="15">
        <v>11</v>
      </c>
      <c r="B12" s="2" t="s">
        <v>62</v>
      </c>
      <c r="C12" s="2">
        <f t="shared" ca="1" si="1"/>
        <v>82</v>
      </c>
      <c r="D12" s="25">
        <f t="shared" ca="1" si="1"/>
        <v>34</v>
      </c>
      <c r="E12" s="25">
        <v>35</v>
      </c>
      <c r="F12" s="23">
        <f t="shared" ca="1" si="0"/>
        <v>0.5033333333333333</v>
      </c>
    </row>
    <row r="13" spans="1:6" ht="17.25" x14ac:dyDescent="0.25">
      <c r="A13" s="24">
        <v>12</v>
      </c>
      <c r="B13" s="5" t="s">
        <v>63</v>
      </c>
      <c r="C13" s="2">
        <f t="shared" ca="1" si="1"/>
        <v>45</v>
      </c>
      <c r="D13" s="25">
        <f t="shared" ca="1" si="1"/>
        <v>68</v>
      </c>
      <c r="E13" s="25">
        <v>47</v>
      </c>
      <c r="F13" s="23">
        <f t="shared" ca="1" si="0"/>
        <v>0.53333333333333333</v>
      </c>
    </row>
    <row r="14" spans="1:6" ht="17.25" x14ac:dyDescent="0.25">
      <c r="A14" s="15">
        <v>13</v>
      </c>
      <c r="B14" s="2" t="s">
        <v>64</v>
      </c>
      <c r="C14" s="2">
        <f t="shared" ca="1" si="1"/>
        <v>60</v>
      </c>
      <c r="D14" s="25">
        <f t="shared" ca="1" si="1"/>
        <v>44</v>
      </c>
      <c r="E14" s="25">
        <v>65</v>
      </c>
      <c r="F14" s="23">
        <f t="shared" ca="1" si="0"/>
        <v>0.56333333333333335</v>
      </c>
    </row>
    <row r="15" spans="1:6" ht="17.25" x14ac:dyDescent="0.25">
      <c r="A15" s="24">
        <v>14</v>
      </c>
      <c r="B15" s="5" t="s">
        <v>65</v>
      </c>
      <c r="C15" s="2">
        <f t="shared" ca="1" si="1"/>
        <v>58</v>
      </c>
      <c r="D15" s="25">
        <f t="shared" ca="1" si="1"/>
        <v>38</v>
      </c>
      <c r="E15" s="25">
        <v>30</v>
      </c>
      <c r="F15" s="23">
        <f t="shared" ca="1" si="0"/>
        <v>0.42</v>
      </c>
    </row>
    <row r="16" spans="1:6" ht="17.25" x14ac:dyDescent="0.25">
      <c r="A16" s="15">
        <v>15</v>
      </c>
      <c r="B16" s="2" t="s">
        <v>66</v>
      </c>
      <c r="C16" s="2">
        <f t="shared" ca="1" si="1"/>
        <v>71</v>
      </c>
      <c r="D16" s="25">
        <f t="shared" ca="1" si="1"/>
        <v>56</v>
      </c>
      <c r="E16" s="25">
        <v>62</v>
      </c>
      <c r="F16" s="23">
        <f t="shared" ca="1" si="0"/>
        <v>0.63</v>
      </c>
    </row>
    <row r="17" spans="1:6" ht="17.25" x14ac:dyDescent="0.25">
      <c r="A17" s="15">
        <v>16</v>
      </c>
      <c r="B17" s="2" t="s">
        <v>62</v>
      </c>
      <c r="C17" s="2">
        <f t="shared" ca="1" si="1"/>
        <v>72</v>
      </c>
      <c r="D17" s="25">
        <f t="shared" ca="1" si="1"/>
        <v>86</v>
      </c>
      <c r="E17" s="25">
        <v>70</v>
      </c>
      <c r="F17" s="23">
        <f t="shared" ca="1" si="0"/>
        <v>0.76</v>
      </c>
    </row>
    <row r="18" spans="1:6" ht="17.25" x14ac:dyDescent="0.25">
      <c r="A18" s="24">
        <v>17</v>
      </c>
      <c r="B18" s="5" t="s">
        <v>63</v>
      </c>
      <c r="C18" s="2">
        <f t="shared" ca="1" si="1"/>
        <v>68</v>
      </c>
      <c r="D18" s="25">
        <f t="shared" ca="1" si="1"/>
        <v>90</v>
      </c>
      <c r="E18" s="25">
        <v>32</v>
      </c>
      <c r="F18" s="23">
        <f t="shared" ca="1" si="0"/>
        <v>0.6333333333333333</v>
      </c>
    </row>
    <row r="19" spans="1:6" ht="17.25" x14ac:dyDescent="0.25">
      <c r="A19" s="15">
        <v>18</v>
      </c>
      <c r="B19" s="2" t="s">
        <v>64</v>
      </c>
      <c r="C19" s="2">
        <f t="shared" ca="1" si="1"/>
        <v>62</v>
      </c>
      <c r="D19" s="25">
        <f t="shared" ca="1" si="1"/>
        <v>35</v>
      </c>
      <c r="E19" s="25">
        <v>51</v>
      </c>
      <c r="F19" s="23">
        <f t="shared" ca="1" si="0"/>
        <v>0.49333333333333335</v>
      </c>
    </row>
    <row r="20" spans="1:6" ht="17.25" x14ac:dyDescent="0.25">
      <c r="A20" s="24">
        <v>19</v>
      </c>
      <c r="B20" s="5" t="s">
        <v>65</v>
      </c>
      <c r="C20" s="2">
        <f t="shared" ca="1" si="1"/>
        <v>62</v>
      </c>
      <c r="D20" s="25">
        <f t="shared" ca="1" si="1"/>
        <v>68</v>
      </c>
      <c r="E20" s="25">
        <v>37</v>
      </c>
      <c r="F20" s="23">
        <f t="shared" ca="1" si="0"/>
        <v>0.55666666666666664</v>
      </c>
    </row>
    <row r="21" spans="1:6" ht="17.25" x14ac:dyDescent="0.25">
      <c r="A21" s="15">
        <v>20</v>
      </c>
      <c r="B21" s="2" t="s">
        <v>66</v>
      </c>
      <c r="C21" s="2">
        <f t="shared" ca="1" si="1"/>
        <v>84</v>
      </c>
      <c r="D21" s="25">
        <f t="shared" ca="1" si="1"/>
        <v>75</v>
      </c>
      <c r="E21" s="25">
        <v>36</v>
      </c>
      <c r="F21" s="23">
        <f t="shared" ca="1" si="0"/>
        <v>0.65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9788-51B7-4116-BF2F-401F01FD27F3}">
  <dimension ref="A1:D10"/>
  <sheetViews>
    <sheetView workbookViewId="0">
      <selection activeCell="E12" sqref="E12"/>
    </sheetView>
  </sheetViews>
  <sheetFormatPr defaultRowHeight="15" x14ac:dyDescent="0.25"/>
  <cols>
    <col min="1" max="1" width="12.7109375" customWidth="1"/>
    <col min="2" max="2" width="14.7109375" bestFit="1" customWidth="1"/>
    <col min="3" max="3" width="14.5703125" customWidth="1"/>
  </cols>
  <sheetData>
    <row r="1" spans="1:4" ht="34.5" x14ac:dyDescent="0.25">
      <c r="A1" s="14" t="s">
        <v>67</v>
      </c>
      <c r="B1" s="14" t="s">
        <v>68</v>
      </c>
      <c r="C1" s="14" t="s">
        <v>37</v>
      </c>
      <c r="D1" s="9"/>
    </row>
    <row r="2" spans="1:4" ht="17.25" x14ac:dyDescent="0.25">
      <c r="A2" s="2" t="s">
        <v>69</v>
      </c>
      <c r="B2" s="4">
        <v>45292</v>
      </c>
      <c r="C2" s="2">
        <v>12000</v>
      </c>
      <c r="D2" s="13"/>
    </row>
    <row r="3" spans="1:4" ht="17.25" x14ac:dyDescent="0.25">
      <c r="A3" s="5" t="s">
        <v>70</v>
      </c>
      <c r="B3" s="7">
        <v>45294</v>
      </c>
      <c r="C3" s="5">
        <v>25000</v>
      </c>
    </row>
    <row r="4" spans="1:4" ht="17.25" x14ac:dyDescent="0.25">
      <c r="A4" s="2" t="s">
        <v>71</v>
      </c>
      <c r="B4" s="4">
        <v>45296</v>
      </c>
      <c r="C4" s="2">
        <v>8000</v>
      </c>
    </row>
    <row r="5" spans="1:4" ht="17.25" x14ac:dyDescent="0.25">
      <c r="A5" s="5" t="s">
        <v>72</v>
      </c>
      <c r="B5" s="7">
        <v>45299</v>
      </c>
      <c r="C5" s="5">
        <v>32000</v>
      </c>
    </row>
    <row r="6" spans="1:4" ht="17.25" x14ac:dyDescent="0.25">
      <c r="A6" s="2" t="s">
        <v>73</v>
      </c>
      <c r="B6" s="4">
        <v>45301</v>
      </c>
      <c r="C6" s="2">
        <v>15000</v>
      </c>
    </row>
    <row r="7" spans="1:4" x14ac:dyDescent="0.25">
      <c r="B7" s="21" t="s">
        <v>74</v>
      </c>
      <c r="C7" s="22">
        <f>SUM(C2:C6)</f>
        <v>92000</v>
      </c>
    </row>
    <row r="8" spans="1:4" x14ac:dyDescent="0.25">
      <c r="B8" s="18" t="s">
        <v>75</v>
      </c>
      <c r="C8" s="17">
        <f>AVERAGE(C2:C6)</f>
        <v>18400</v>
      </c>
    </row>
    <row r="9" spans="1:4" x14ac:dyDescent="0.25">
      <c r="B9" s="18" t="s">
        <v>76</v>
      </c>
      <c r="C9" s="17">
        <f>MAX(C2:C6)</f>
        <v>32000</v>
      </c>
    </row>
    <row r="10" spans="1:4" x14ac:dyDescent="0.25">
      <c r="B10" s="18" t="s">
        <v>77</v>
      </c>
      <c r="C10" s="17">
        <f>MIN(C2:C6)</f>
        <v>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4EB3-DD4E-48B6-BE66-A3A94832102C}">
  <dimension ref="A1:G21"/>
  <sheetViews>
    <sheetView workbookViewId="0">
      <selection activeCell="G3" sqref="G3"/>
    </sheetView>
  </sheetViews>
  <sheetFormatPr defaultRowHeight="15" x14ac:dyDescent="0.25"/>
  <cols>
    <col min="1" max="1" width="13.140625" customWidth="1"/>
    <col min="2" max="2" width="14.85546875" customWidth="1"/>
    <col min="3" max="3" width="15.42578125" customWidth="1"/>
    <col min="6" max="6" width="26.28515625" bestFit="1" customWidth="1"/>
    <col min="7" max="7" width="14.5703125" customWidth="1"/>
  </cols>
  <sheetData>
    <row r="1" spans="1:7" ht="34.5" x14ac:dyDescent="0.25">
      <c r="A1" s="14" t="s">
        <v>78</v>
      </c>
      <c r="B1" s="14" t="s">
        <v>2</v>
      </c>
      <c r="C1" s="14" t="s">
        <v>3</v>
      </c>
    </row>
    <row r="2" spans="1:7" ht="17.25" x14ac:dyDescent="0.25">
      <c r="A2" s="2" t="s">
        <v>79</v>
      </c>
      <c r="B2" s="2" t="s">
        <v>7</v>
      </c>
      <c r="C2" s="2">
        <v>61222</v>
      </c>
    </row>
    <row r="3" spans="1:7" ht="17.25" x14ac:dyDescent="0.25">
      <c r="A3" s="5" t="s">
        <v>80</v>
      </c>
      <c r="B3" s="5" t="s">
        <v>10</v>
      </c>
      <c r="C3" s="2">
        <v>37961</v>
      </c>
      <c r="F3" s="18" t="s">
        <v>118</v>
      </c>
      <c r="G3" s="17">
        <f>SUMIF(B2:B20,B2,C2:C20)</f>
        <v>392139</v>
      </c>
    </row>
    <row r="4" spans="1:7" ht="17.25" x14ac:dyDescent="0.25">
      <c r="A4" s="2" t="s">
        <v>81</v>
      </c>
      <c r="B4" s="2" t="s">
        <v>10</v>
      </c>
      <c r="C4" s="2">
        <v>35186</v>
      </c>
      <c r="F4" s="18" t="s">
        <v>119</v>
      </c>
      <c r="G4" s="17">
        <f>SUMIF(B2:B20,B9,C2:C20)</f>
        <v>269654</v>
      </c>
    </row>
    <row r="5" spans="1:7" ht="17.25" x14ac:dyDescent="0.25">
      <c r="A5" s="5" t="s">
        <v>82</v>
      </c>
      <c r="B5" s="5" t="s">
        <v>13</v>
      </c>
      <c r="C5" s="2">
        <v>30122</v>
      </c>
      <c r="F5" s="18" t="s">
        <v>120</v>
      </c>
      <c r="G5" s="17">
        <f>SUMIF(B2:B20,B13,C2:C20)</f>
        <v>257993</v>
      </c>
    </row>
    <row r="6" spans="1:7" ht="17.25" x14ac:dyDescent="0.25">
      <c r="A6" s="2" t="s">
        <v>83</v>
      </c>
      <c r="B6" s="2" t="s">
        <v>7</v>
      </c>
      <c r="C6" s="2">
        <v>69719</v>
      </c>
    </row>
    <row r="7" spans="1:7" ht="17.25" x14ac:dyDescent="0.25">
      <c r="A7" s="5" t="s">
        <v>84</v>
      </c>
      <c r="B7" s="5" t="s">
        <v>13</v>
      </c>
      <c r="C7" s="2">
        <v>71180</v>
      </c>
      <c r="F7" s="18" t="s">
        <v>85</v>
      </c>
      <c r="G7" s="19">
        <f>AVERAGE(C2:C20)</f>
        <v>48409.789473684214</v>
      </c>
    </row>
    <row r="8" spans="1:7" ht="17.25" x14ac:dyDescent="0.25">
      <c r="A8" s="2" t="s">
        <v>79</v>
      </c>
      <c r="B8" s="2" t="s">
        <v>7</v>
      </c>
      <c r="C8" s="2">
        <v>35192</v>
      </c>
      <c r="F8" s="18" t="s">
        <v>86</v>
      </c>
      <c r="G8" s="17">
        <f>COUNTA(A2:A20)</f>
        <v>19</v>
      </c>
    </row>
    <row r="9" spans="1:7" ht="17.25" x14ac:dyDescent="0.25">
      <c r="A9" s="5" t="s">
        <v>80</v>
      </c>
      <c r="B9" s="5" t="s">
        <v>10</v>
      </c>
      <c r="C9" s="2">
        <v>30499</v>
      </c>
    </row>
    <row r="10" spans="1:7" ht="17.25" x14ac:dyDescent="0.25">
      <c r="A10" s="2" t="s">
        <v>81</v>
      </c>
      <c r="B10" s="2" t="s">
        <v>10</v>
      </c>
      <c r="C10" s="2">
        <v>50426</v>
      </c>
    </row>
    <row r="11" spans="1:7" ht="17.25" x14ac:dyDescent="0.25">
      <c r="A11" s="5" t="s">
        <v>82</v>
      </c>
      <c r="B11" s="5" t="s">
        <v>13</v>
      </c>
      <c r="C11" s="2">
        <v>54421</v>
      </c>
    </row>
    <row r="12" spans="1:7" ht="17.25" x14ac:dyDescent="0.25">
      <c r="A12" s="2" t="s">
        <v>83</v>
      </c>
      <c r="B12" s="2" t="s">
        <v>7</v>
      </c>
      <c r="C12" s="2">
        <v>57190</v>
      </c>
    </row>
    <row r="13" spans="1:7" ht="17.25" x14ac:dyDescent="0.25">
      <c r="A13" s="5" t="s">
        <v>84</v>
      </c>
      <c r="B13" s="5" t="s">
        <v>13</v>
      </c>
      <c r="C13" s="2">
        <v>33195</v>
      </c>
    </row>
    <row r="14" spans="1:7" ht="17.25" x14ac:dyDescent="0.25">
      <c r="A14" s="2" t="s">
        <v>79</v>
      </c>
      <c r="B14" s="2" t="s">
        <v>7</v>
      </c>
      <c r="C14" s="2">
        <v>41904</v>
      </c>
    </row>
    <row r="15" spans="1:7" ht="17.25" x14ac:dyDescent="0.25">
      <c r="A15" s="5" t="s">
        <v>80</v>
      </c>
      <c r="B15" s="5" t="s">
        <v>10</v>
      </c>
      <c r="C15" s="2">
        <v>73452</v>
      </c>
    </row>
    <row r="16" spans="1:7" ht="17.25" x14ac:dyDescent="0.25">
      <c r="A16" s="2" t="s">
        <v>81</v>
      </c>
      <c r="B16" s="2" t="s">
        <v>10</v>
      </c>
      <c r="C16" s="2">
        <v>42130</v>
      </c>
    </row>
    <row r="17" spans="1:3" ht="17.25" x14ac:dyDescent="0.25">
      <c r="A17" s="5" t="s">
        <v>82</v>
      </c>
      <c r="B17" s="5" t="s">
        <v>13</v>
      </c>
      <c r="C17" s="2">
        <v>37376</v>
      </c>
    </row>
    <row r="18" spans="1:3" ht="17.25" x14ac:dyDescent="0.25">
      <c r="A18" s="2" t="s">
        <v>83</v>
      </c>
      <c r="B18" s="2" t="s">
        <v>7</v>
      </c>
      <c r="C18" s="2">
        <v>49736</v>
      </c>
    </row>
    <row r="19" spans="1:3" ht="17.25" x14ac:dyDescent="0.25">
      <c r="A19" s="5" t="s">
        <v>84</v>
      </c>
      <c r="B19" s="5" t="s">
        <v>13</v>
      </c>
      <c r="C19" s="2">
        <v>31699</v>
      </c>
    </row>
    <row r="20" spans="1:3" ht="17.25" x14ac:dyDescent="0.25">
      <c r="A20" s="2" t="s">
        <v>79</v>
      </c>
      <c r="B20" s="2" t="s">
        <v>7</v>
      </c>
      <c r="C20" s="2">
        <v>77176</v>
      </c>
    </row>
    <row r="21" spans="1:3" ht="18" thickBot="1" x14ac:dyDescent="0.3">
      <c r="B21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1803-245D-466E-863B-50A4A52C7D8B}">
  <dimension ref="A1:F22"/>
  <sheetViews>
    <sheetView topLeftCell="A7" workbookViewId="0">
      <selection activeCell="H6" sqref="H6"/>
    </sheetView>
  </sheetViews>
  <sheetFormatPr defaultRowHeight="15" x14ac:dyDescent="0.25"/>
  <cols>
    <col min="1" max="1" width="14.42578125" customWidth="1"/>
    <col min="8" max="8" width="15.140625" customWidth="1"/>
  </cols>
  <sheetData>
    <row r="1" spans="1:6" ht="34.5" x14ac:dyDescent="0.25">
      <c r="A1" s="14" t="s">
        <v>57</v>
      </c>
      <c r="B1" s="14" t="s">
        <v>87</v>
      </c>
      <c r="C1" s="14" t="s">
        <v>88</v>
      </c>
      <c r="D1" s="14" t="s">
        <v>89</v>
      </c>
      <c r="E1" s="14" t="s">
        <v>90</v>
      </c>
      <c r="F1" s="14" t="s">
        <v>91</v>
      </c>
    </row>
    <row r="2" spans="1:6" ht="17.25" x14ac:dyDescent="0.25">
      <c r="A2" s="2" t="s">
        <v>62</v>
      </c>
      <c r="B2" s="2" t="s">
        <v>92</v>
      </c>
      <c r="C2" s="2" t="s">
        <v>93</v>
      </c>
      <c r="D2" s="2" t="s">
        <v>92</v>
      </c>
      <c r="E2" s="2" t="s">
        <v>92</v>
      </c>
      <c r="F2" s="2" t="s">
        <v>92</v>
      </c>
    </row>
    <row r="3" spans="1:6" ht="17.25" x14ac:dyDescent="0.25">
      <c r="A3" s="5" t="s">
        <v>63</v>
      </c>
      <c r="B3" s="5" t="s">
        <v>92</v>
      </c>
      <c r="C3" s="5" t="s">
        <v>92</v>
      </c>
      <c r="D3" s="5" t="s">
        <v>92</v>
      </c>
      <c r="E3" s="5" t="s">
        <v>93</v>
      </c>
      <c r="F3" s="5" t="s">
        <v>92</v>
      </c>
    </row>
    <row r="4" spans="1:6" ht="17.25" x14ac:dyDescent="0.25">
      <c r="A4" s="2" t="s">
        <v>64</v>
      </c>
      <c r="B4" s="2" t="s">
        <v>93</v>
      </c>
      <c r="C4" s="2" t="s">
        <v>92</v>
      </c>
      <c r="D4" s="2" t="s">
        <v>92</v>
      </c>
      <c r="E4" s="2" t="s">
        <v>92</v>
      </c>
      <c r="F4" s="2" t="s">
        <v>92</v>
      </c>
    </row>
    <row r="5" spans="1:6" ht="17.25" x14ac:dyDescent="0.25">
      <c r="A5" s="5" t="s">
        <v>65</v>
      </c>
      <c r="B5" s="5" t="s">
        <v>92</v>
      </c>
      <c r="C5" s="5" t="s">
        <v>93</v>
      </c>
      <c r="D5" s="5" t="s">
        <v>93</v>
      </c>
      <c r="E5" s="5" t="s">
        <v>92</v>
      </c>
      <c r="F5" s="5" t="s">
        <v>93</v>
      </c>
    </row>
    <row r="6" spans="1:6" ht="17.25" x14ac:dyDescent="0.25">
      <c r="A6" s="2" t="s">
        <v>62</v>
      </c>
      <c r="B6" s="2" t="s">
        <v>92</v>
      </c>
      <c r="C6" s="2" t="s">
        <v>93</v>
      </c>
      <c r="D6" s="2" t="s">
        <v>92</v>
      </c>
      <c r="E6" s="2" t="s">
        <v>92</v>
      </c>
      <c r="F6" s="2" t="s">
        <v>92</v>
      </c>
    </row>
    <row r="7" spans="1:6" ht="17.25" x14ac:dyDescent="0.25">
      <c r="A7" s="5" t="s">
        <v>63</v>
      </c>
      <c r="B7" s="5" t="s">
        <v>92</v>
      </c>
      <c r="C7" s="5" t="s">
        <v>92</v>
      </c>
      <c r="D7" s="5" t="s">
        <v>92</v>
      </c>
      <c r="E7" s="5" t="s">
        <v>93</v>
      </c>
      <c r="F7" s="5" t="s">
        <v>92</v>
      </c>
    </row>
    <row r="8" spans="1:6" ht="17.25" x14ac:dyDescent="0.25">
      <c r="A8" s="2" t="s">
        <v>64</v>
      </c>
      <c r="B8" s="2" t="s">
        <v>93</v>
      </c>
      <c r="C8" s="2" t="s">
        <v>92</v>
      </c>
      <c r="D8" s="2" t="s">
        <v>92</v>
      </c>
      <c r="E8" s="15" t="s">
        <v>92</v>
      </c>
      <c r="F8" s="2" t="s">
        <v>92</v>
      </c>
    </row>
    <row r="9" spans="1:6" ht="17.25" x14ac:dyDescent="0.25">
      <c r="A9" s="5" t="s">
        <v>65</v>
      </c>
      <c r="B9" s="5" t="s">
        <v>92</v>
      </c>
      <c r="C9" s="5" t="s">
        <v>93</v>
      </c>
      <c r="D9" s="5" t="s">
        <v>93</v>
      </c>
      <c r="E9" s="5" t="s">
        <v>92</v>
      </c>
      <c r="F9" s="5" t="s">
        <v>93</v>
      </c>
    </row>
    <row r="10" spans="1:6" ht="17.25" x14ac:dyDescent="0.25">
      <c r="A10" s="2" t="s">
        <v>62</v>
      </c>
      <c r="B10" s="2" t="s">
        <v>92</v>
      </c>
      <c r="C10" s="2" t="s">
        <v>93</v>
      </c>
      <c r="D10" s="2" t="s">
        <v>92</v>
      </c>
      <c r="E10" s="2" t="s">
        <v>92</v>
      </c>
      <c r="F10" s="2" t="s">
        <v>92</v>
      </c>
    </row>
    <row r="11" spans="1:6" ht="17.25" x14ac:dyDescent="0.25">
      <c r="A11" s="5" t="s">
        <v>63</v>
      </c>
      <c r="B11" s="5" t="s">
        <v>92</v>
      </c>
      <c r="C11" s="5" t="s">
        <v>92</v>
      </c>
      <c r="D11" s="5" t="s">
        <v>92</v>
      </c>
      <c r="E11" s="5" t="s">
        <v>93</v>
      </c>
      <c r="F11" s="5" t="s">
        <v>92</v>
      </c>
    </row>
    <row r="12" spans="1:6" ht="17.25" x14ac:dyDescent="0.25">
      <c r="A12" s="2" t="s">
        <v>64</v>
      </c>
      <c r="B12" s="2" t="s">
        <v>93</v>
      </c>
      <c r="C12" s="2" t="s">
        <v>92</v>
      </c>
      <c r="D12" s="2" t="s">
        <v>92</v>
      </c>
      <c r="E12" s="2" t="s">
        <v>92</v>
      </c>
      <c r="F12" s="2" t="s">
        <v>92</v>
      </c>
    </row>
    <row r="13" spans="1:6" ht="17.25" x14ac:dyDescent="0.25">
      <c r="A13" s="5" t="s">
        <v>65</v>
      </c>
      <c r="B13" s="5" t="s">
        <v>92</v>
      </c>
      <c r="C13" s="5" t="s">
        <v>93</v>
      </c>
      <c r="D13" s="5" t="s">
        <v>93</v>
      </c>
      <c r="E13" s="5" t="s">
        <v>92</v>
      </c>
      <c r="F13" s="5" t="s">
        <v>93</v>
      </c>
    </row>
    <row r="14" spans="1:6" ht="17.25" x14ac:dyDescent="0.25">
      <c r="A14" s="2" t="s">
        <v>62</v>
      </c>
      <c r="B14" s="2" t="s">
        <v>92</v>
      </c>
      <c r="C14" s="2" t="s">
        <v>93</v>
      </c>
      <c r="D14" s="2" t="s">
        <v>92</v>
      </c>
      <c r="E14" s="2" t="s">
        <v>92</v>
      </c>
      <c r="F14" s="2" t="s">
        <v>92</v>
      </c>
    </row>
    <row r="15" spans="1:6" ht="17.25" x14ac:dyDescent="0.25">
      <c r="A15" s="5" t="s">
        <v>63</v>
      </c>
      <c r="B15" s="5" t="s">
        <v>92</v>
      </c>
      <c r="C15" s="5" t="s">
        <v>92</v>
      </c>
      <c r="D15" s="5" t="s">
        <v>92</v>
      </c>
      <c r="E15" s="5" t="s">
        <v>93</v>
      </c>
      <c r="F15" s="5" t="s">
        <v>92</v>
      </c>
    </row>
    <row r="16" spans="1:6" ht="17.25" x14ac:dyDescent="0.25">
      <c r="A16" s="2" t="s">
        <v>64</v>
      </c>
      <c r="B16" s="2" t="s">
        <v>93</v>
      </c>
      <c r="C16" s="2" t="s">
        <v>92</v>
      </c>
      <c r="D16" s="2" t="s">
        <v>92</v>
      </c>
      <c r="E16" s="2" t="s">
        <v>92</v>
      </c>
      <c r="F16" s="2" t="s">
        <v>92</v>
      </c>
    </row>
    <row r="17" spans="1:6" ht="17.25" x14ac:dyDescent="0.25">
      <c r="A17" s="5" t="s">
        <v>65</v>
      </c>
      <c r="B17" s="5" t="s">
        <v>92</v>
      </c>
      <c r="C17" s="5" t="s">
        <v>93</v>
      </c>
      <c r="D17" s="5" t="s">
        <v>93</v>
      </c>
      <c r="E17" s="5" t="s">
        <v>92</v>
      </c>
      <c r="F17" s="5" t="s">
        <v>93</v>
      </c>
    </row>
    <row r="18" spans="1:6" ht="17.25" x14ac:dyDescent="0.25">
      <c r="A18" s="2" t="s">
        <v>62</v>
      </c>
      <c r="B18" s="2" t="s">
        <v>92</v>
      </c>
      <c r="C18" s="2" t="s">
        <v>93</v>
      </c>
      <c r="D18" s="2" t="s">
        <v>92</v>
      </c>
      <c r="E18" s="2" t="s">
        <v>92</v>
      </c>
      <c r="F18" s="2" t="s">
        <v>92</v>
      </c>
    </row>
    <row r="19" spans="1:6" ht="17.25" x14ac:dyDescent="0.25">
      <c r="A19" s="5" t="s">
        <v>63</v>
      </c>
      <c r="B19" s="5" t="s">
        <v>92</v>
      </c>
      <c r="C19" s="5" t="s">
        <v>92</v>
      </c>
      <c r="D19" s="5" t="s">
        <v>92</v>
      </c>
      <c r="E19" s="5" t="s">
        <v>93</v>
      </c>
      <c r="F19" s="5" t="s">
        <v>92</v>
      </c>
    </row>
    <row r="20" spans="1:6" ht="17.25" x14ac:dyDescent="0.25">
      <c r="A20" s="2" t="s">
        <v>64</v>
      </c>
      <c r="B20" s="2" t="s">
        <v>93</v>
      </c>
      <c r="C20" s="2" t="s">
        <v>92</v>
      </c>
      <c r="D20" s="2" t="s">
        <v>92</v>
      </c>
      <c r="E20" s="2" t="s">
        <v>92</v>
      </c>
      <c r="F20" s="2" t="s">
        <v>92</v>
      </c>
    </row>
    <row r="21" spans="1:6" ht="34.5" x14ac:dyDescent="0.25">
      <c r="A21" s="16" t="s">
        <v>94</v>
      </c>
      <c r="B21" s="17">
        <f>COUNTIF(B2:B20,B2)</f>
        <v>14</v>
      </c>
      <c r="C21" s="17">
        <f>COUNTIF(C2:C20,C20)</f>
        <v>10</v>
      </c>
      <c r="D21" s="17">
        <f t="shared" ref="C21:F21" si="0">COUNTIF(D2:D20,D2)</f>
        <v>15</v>
      </c>
      <c r="E21" s="17">
        <f t="shared" si="0"/>
        <v>14</v>
      </c>
      <c r="F21" s="17">
        <f t="shared" si="0"/>
        <v>15</v>
      </c>
    </row>
    <row r="22" spans="1:6" ht="34.5" x14ac:dyDescent="0.25">
      <c r="A22" s="16" t="s">
        <v>95</v>
      </c>
      <c r="B22" s="17">
        <f>COUNTIF(B2:B20,B20)</f>
        <v>5</v>
      </c>
      <c r="C22" s="17">
        <f>COUNTIF(C2:C20,C18)</f>
        <v>9</v>
      </c>
      <c r="D22" s="17">
        <f>COUNTIF(D2:D20,D17)</f>
        <v>4</v>
      </c>
      <c r="E22" s="17">
        <f>COUNTIF(E2:E20,E19)</f>
        <v>5</v>
      </c>
      <c r="F22" s="17">
        <f>COUNTIF(F2:F20,F17)</f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3BFF-9BBD-46DD-A2DE-028F04C628B5}">
  <dimension ref="A1:G20"/>
  <sheetViews>
    <sheetView workbookViewId="0">
      <selection activeCell="E4" sqref="E4:G5"/>
    </sheetView>
  </sheetViews>
  <sheetFormatPr defaultRowHeight="15" x14ac:dyDescent="0.25"/>
  <cols>
    <col min="1" max="1" width="12.42578125" customWidth="1"/>
    <col min="2" max="2" width="18" customWidth="1"/>
  </cols>
  <sheetData>
    <row r="1" spans="1:7" ht="17.25" x14ac:dyDescent="0.25">
      <c r="A1" s="14" t="s">
        <v>96</v>
      </c>
      <c r="B1" s="14" t="s">
        <v>37</v>
      </c>
    </row>
    <row r="2" spans="1:7" ht="17.25" x14ac:dyDescent="0.25">
      <c r="A2" s="2" t="s">
        <v>97</v>
      </c>
      <c r="B2" s="2">
        <f ca="1">RANDBETWEEN(2000,20000)</f>
        <v>11055</v>
      </c>
    </row>
    <row r="3" spans="1:7" ht="17.25" x14ac:dyDescent="0.25">
      <c r="A3" s="5" t="s">
        <v>98</v>
      </c>
      <c r="B3" s="2">
        <f t="shared" ref="B3:B20" ca="1" si="0">RANDBETWEEN(2000,20000)</f>
        <v>15432</v>
      </c>
    </row>
    <row r="4" spans="1:7" ht="17.25" x14ac:dyDescent="0.25">
      <c r="A4" s="2" t="s">
        <v>99</v>
      </c>
      <c r="B4" s="2">
        <f t="shared" ca="1" si="0"/>
        <v>7439</v>
      </c>
      <c r="E4" s="18" t="s">
        <v>103</v>
      </c>
      <c r="F4" s="18"/>
      <c r="G4" s="17">
        <f ca="1">COUNTIF(B2:B20,"&gt;10000")</f>
        <v>13</v>
      </c>
    </row>
    <row r="5" spans="1:7" ht="17.25" x14ac:dyDescent="0.25">
      <c r="A5" s="5" t="s">
        <v>100</v>
      </c>
      <c r="B5" s="2">
        <f t="shared" ca="1" si="0"/>
        <v>3065</v>
      </c>
      <c r="E5" s="18" t="s">
        <v>104</v>
      </c>
      <c r="F5" s="18"/>
      <c r="G5" s="17">
        <f ca="1">COUNTIF(B2:B20,"&lt;5000")</f>
        <v>3</v>
      </c>
    </row>
    <row r="6" spans="1:7" ht="17.25" x14ac:dyDescent="0.25">
      <c r="A6" s="2" t="s">
        <v>101</v>
      </c>
      <c r="B6" s="2">
        <f t="shared" ca="1" si="0"/>
        <v>10694</v>
      </c>
    </row>
    <row r="7" spans="1:7" ht="17.25" x14ac:dyDescent="0.25">
      <c r="A7" s="5" t="s">
        <v>102</v>
      </c>
      <c r="B7" s="2">
        <f t="shared" ca="1" si="0"/>
        <v>14744</v>
      </c>
    </row>
    <row r="8" spans="1:7" ht="17.25" x14ac:dyDescent="0.25">
      <c r="A8" s="2" t="s">
        <v>105</v>
      </c>
      <c r="B8" s="2">
        <f t="shared" ca="1" si="0"/>
        <v>7960</v>
      </c>
    </row>
    <row r="9" spans="1:7" ht="17.25" x14ac:dyDescent="0.25">
      <c r="A9" s="5" t="s">
        <v>106</v>
      </c>
      <c r="B9" s="2">
        <f t="shared" ca="1" si="0"/>
        <v>3623</v>
      </c>
    </row>
    <row r="10" spans="1:7" ht="17.25" x14ac:dyDescent="0.25">
      <c r="A10" s="2" t="s">
        <v>107</v>
      </c>
      <c r="B10" s="2">
        <f t="shared" ca="1" si="0"/>
        <v>17801</v>
      </c>
    </row>
    <row r="11" spans="1:7" ht="17.25" x14ac:dyDescent="0.25">
      <c r="A11" s="5" t="s">
        <v>108</v>
      </c>
      <c r="B11" s="2">
        <f t="shared" ca="1" si="0"/>
        <v>10725</v>
      </c>
    </row>
    <row r="12" spans="1:7" ht="17.25" x14ac:dyDescent="0.25">
      <c r="A12" s="2" t="s">
        <v>109</v>
      </c>
      <c r="B12" s="2">
        <f t="shared" ca="1" si="0"/>
        <v>11171</v>
      </c>
    </row>
    <row r="13" spans="1:7" ht="17.25" x14ac:dyDescent="0.25">
      <c r="A13" s="5" t="s">
        <v>110</v>
      </c>
      <c r="B13" s="2">
        <f t="shared" ca="1" si="0"/>
        <v>7244</v>
      </c>
    </row>
    <row r="14" spans="1:7" ht="17.25" x14ac:dyDescent="0.25">
      <c r="A14" s="2" t="s">
        <v>111</v>
      </c>
      <c r="B14" s="2">
        <f t="shared" ca="1" si="0"/>
        <v>14268</v>
      </c>
    </row>
    <row r="15" spans="1:7" ht="17.25" x14ac:dyDescent="0.25">
      <c r="A15" s="5" t="s">
        <v>112</v>
      </c>
      <c r="B15" s="2">
        <f t="shared" ca="1" si="0"/>
        <v>2977</v>
      </c>
    </row>
    <row r="16" spans="1:7" ht="17.25" x14ac:dyDescent="0.25">
      <c r="A16" s="2" t="s">
        <v>113</v>
      </c>
      <c r="B16" s="2">
        <f t="shared" ca="1" si="0"/>
        <v>17188</v>
      </c>
    </row>
    <row r="17" spans="1:2" ht="17.25" x14ac:dyDescent="0.25">
      <c r="A17" s="5" t="s">
        <v>114</v>
      </c>
      <c r="B17" s="2">
        <f t="shared" ca="1" si="0"/>
        <v>16395</v>
      </c>
    </row>
    <row r="18" spans="1:2" ht="17.25" x14ac:dyDescent="0.25">
      <c r="A18" s="2" t="s">
        <v>115</v>
      </c>
      <c r="B18" s="2">
        <f t="shared" ca="1" si="0"/>
        <v>13536</v>
      </c>
    </row>
    <row r="19" spans="1:2" ht="17.25" x14ac:dyDescent="0.25">
      <c r="A19" s="5" t="s">
        <v>116</v>
      </c>
      <c r="B19" s="2">
        <f t="shared" ca="1" si="0"/>
        <v>12161</v>
      </c>
    </row>
    <row r="20" spans="1:2" ht="17.25" x14ac:dyDescent="0.25">
      <c r="A20" s="2" t="s">
        <v>117</v>
      </c>
      <c r="B20" s="2">
        <f t="shared" ca="1" si="0"/>
        <v>16144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AAE6-BEE5-420E-9258-94B8C0EDF2C4}">
  <dimension ref="A1:B20"/>
  <sheetViews>
    <sheetView tabSelected="1" workbookViewId="0">
      <selection sqref="A1:B20"/>
    </sheetView>
  </sheetViews>
  <sheetFormatPr defaultRowHeight="15" x14ac:dyDescent="0.25"/>
  <cols>
    <col min="1" max="1" width="17" customWidth="1"/>
    <col min="2" max="2" width="12.42578125" customWidth="1"/>
  </cols>
  <sheetData>
    <row r="1" spans="1:2" ht="34.5" x14ac:dyDescent="0.25">
      <c r="A1" s="14" t="s">
        <v>121</v>
      </c>
      <c r="B1" s="14" t="s">
        <v>37</v>
      </c>
    </row>
    <row r="2" spans="1:2" ht="17.25" x14ac:dyDescent="0.25">
      <c r="A2" s="2" t="s">
        <v>122</v>
      </c>
      <c r="B2" s="2">
        <f ca="1">RANDBETWEEN(5000,20000)</f>
        <v>17968</v>
      </c>
    </row>
    <row r="3" spans="1:2" ht="17.25" x14ac:dyDescent="0.25">
      <c r="A3" s="5" t="s">
        <v>123</v>
      </c>
      <c r="B3" s="2">
        <f t="shared" ref="B3:B20" ca="1" si="0">RANDBETWEEN(5000,20000)</f>
        <v>12676</v>
      </c>
    </row>
    <row r="4" spans="1:2" ht="17.25" x14ac:dyDescent="0.25">
      <c r="A4" s="2" t="s">
        <v>124</v>
      </c>
      <c r="B4" s="2">
        <f t="shared" ca="1" si="0"/>
        <v>10258</v>
      </c>
    </row>
    <row r="5" spans="1:2" ht="17.25" x14ac:dyDescent="0.25">
      <c r="A5" s="5" t="s">
        <v>125</v>
      </c>
      <c r="B5" s="2">
        <f t="shared" ca="1" si="0"/>
        <v>5459</v>
      </c>
    </row>
    <row r="6" spans="1:2" ht="17.25" x14ac:dyDescent="0.25">
      <c r="A6" s="2" t="s">
        <v>126</v>
      </c>
      <c r="B6" s="2">
        <f t="shared" ca="1" si="0"/>
        <v>12892</v>
      </c>
    </row>
    <row r="7" spans="1:2" ht="17.25" x14ac:dyDescent="0.25">
      <c r="A7" s="2" t="s">
        <v>122</v>
      </c>
      <c r="B7" s="2">
        <f t="shared" ca="1" si="0"/>
        <v>9599</v>
      </c>
    </row>
    <row r="8" spans="1:2" ht="17.25" x14ac:dyDescent="0.25">
      <c r="A8" s="5" t="s">
        <v>123</v>
      </c>
      <c r="B8" s="2">
        <f t="shared" ca="1" si="0"/>
        <v>19281</v>
      </c>
    </row>
    <row r="9" spans="1:2" ht="17.25" x14ac:dyDescent="0.25">
      <c r="A9" s="2" t="s">
        <v>124</v>
      </c>
      <c r="B9" s="2">
        <f t="shared" ca="1" si="0"/>
        <v>7490</v>
      </c>
    </row>
    <row r="10" spans="1:2" ht="17.25" x14ac:dyDescent="0.25">
      <c r="A10" s="5" t="s">
        <v>125</v>
      </c>
      <c r="B10" s="2">
        <f t="shared" ca="1" si="0"/>
        <v>16668</v>
      </c>
    </row>
    <row r="11" spans="1:2" ht="17.25" x14ac:dyDescent="0.25">
      <c r="A11" s="2" t="s">
        <v>126</v>
      </c>
      <c r="B11" s="2">
        <f t="shared" ca="1" si="0"/>
        <v>17660</v>
      </c>
    </row>
    <row r="12" spans="1:2" ht="17.25" x14ac:dyDescent="0.25">
      <c r="A12" s="2" t="s">
        <v>122</v>
      </c>
      <c r="B12" s="2">
        <f t="shared" ca="1" si="0"/>
        <v>6583</v>
      </c>
    </row>
    <row r="13" spans="1:2" ht="17.25" x14ac:dyDescent="0.25">
      <c r="A13" s="5" t="s">
        <v>123</v>
      </c>
      <c r="B13" s="2">
        <f t="shared" ca="1" si="0"/>
        <v>14628</v>
      </c>
    </row>
    <row r="14" spans="1:2" ht="17.25" x14ac:dyDescent="0.25">
      <c r="A14" s="2" t="s">
        <v>124</v>
      </c>
      <c r="B14" s="2">
        <f t="shared" ca="1" si="0"/>
        <v>10311</v>
      </c>
    </row>
    <row r="15" spans="1:2" ht="17.25" x14ac:dyDescent="0.25">
      <c r="A15" s="5" t="s">
        <v>125</v>
      </c>
      <c r="B15" s="2">
        <f t="shared" ca="1" si="0"/>
        <v>19947</v>
      </c>
    </row>
    <row r="16" spans="1:2" ht="17.25" x14ac:dyDescent="0.25">
      <c r="A16" s="2" t="s">
        <v>126</v>
      </c>
      <c r="B16" s="2">
        <f t="shared" ca="1" si="0"/>
        <v>7304</v>
      </c>
    </row>
    <row r="17" spans="1:2" ht="17.25" x14ac:dyDescent="0.25">
      <c r="A17" s="2" t="s">
        <v>122</v>
      </c>
      <c r="B17" s="2">
        <f t="shared" ca="1" si="0"/>
        <v>6283</v>
      </c>
    </row>
    <row r="18" spans="1:2" ht="17.25" x14ac:dyDescent="0.25">
      <c r="A18" s="5" t="s">
        <v>123</v>
      </c>
      <c r="B18" s="2">
        <f t="shared" ca="1" si="0"/>
        <v>15702</v>
      </c>
    </row>
    <row r="19" spans="1:2" ht="17.25" x14ac:dyDescent="0.25">
      <c r="A19" s="2" t="s">
        <v>124</v>
      </c>
      <c r="B19" s="2">
        <f t="shared" ca="1" si="0"/>
        <v>6002</v>
      </c>
    </row>
    <row r="20" spans="1:2" ht="17.25" x14ac:dyDescent="0.25">
      <c r="A20" s="5" t="s">
        <v>125</v>
      </c>
      <c r="B20" s="2">
        <f t="shared" ca="1" si="0"/>
        <v>17714</v>
      </c>
    </row>
  </sheetData>
  <conditionalFormatting sqref="B2:B20">
    <cfRule type="cellIs" dxfId="9" priority="2" operator="lessThan">
      <formula>7000</formula>
    </cfRule>
    <cfRule type="cellIs" dxfId="10" priority="1" operator="greaterThan">
      <formula>10000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8F14-DF99-40E8-8B0E-66D04DDF990B}">
  <dimension ref="A1:C21"/>
  <sheetViews>
    <sheetView workbookViewId="0">
      <selection activeCell="E14" sqref="E14"/>
    </sheetView>
  </sheetViews>
  <sheetFormatPr defaultRowHeight="15" x14ac:dyDescent="0.25"/>
  <cols>
    <col min="1" max="1" width="13.42578125" customWidth="1"/>
    <col min="2" max="2" width="13.85546875" customWidth="1"/>
  </cols>
  <sheetData>
    <row r="1" spans="1:3" ht="34.5" x14ac:dyDescent="0.25">
      <c r="A1" s="14" t="s">
        <v>56</v>
      </c>
      <c r="B1" s="14" t="s">
        <v>1</v>
      </c>
      <c r="C1" s="14" t="s">
        <v>127</v>
      </c>
    </row>
    <row r="2" spans="1:3" ht="17.25" x14ac:dyDescent="0.25">
      <c r="A2" s="2">
        <v>1</v>
      </c>
      <c r="B2" s="2" t="s">
        <v>83</v>
      </c>
      <c r="C2" s="2">
        <f ca="1">RANDBETWEEN(20,98)</f>
        <v>22</v>
      </c>
    </row>
    <row r="3" spans="1:3" ht="17.25" x14ac:dyDescent="0.25">
      <c r="A3" s="5">
        <v>2</v>
      </c>
      <c r="B3" s="5" t="s">
        <v>128</v>
      </c>
      <c r="C3" s="2">
        <f t="shared" ref="C3:C21" ca="1" si="0">RANDBETWEEN(20,98)</f>
        <v>74</v>
      </c>
    </row>
    <row r="4" spans="1:3" ht="34.5" x14ac:dyDescent="0.25">
      <c r="A4" s="2">
        <v>3</v>
      </c>
      <c r="B4" s="2" t="s">
        <v>129</v>
      </c>
      <c r="C4" s="2">
        <f t="shared" ca="1" si="0"/>
        <v>51</v>
      </c>
    </row>
    <row r="5" spans="1:3" ht="17.25" x14ac:dyDescent="0.25">
      <c r="A5" s="5">
        <v>4</v>
      </c>
      <c r="B5" s="5" t="s">
        <v>130</v>
      </c>
      <c r="C5" s="2">
        <f t="shared" ca="1" si="0"/>
        <v>93</v>
      </c>
    </row>
    <row r="6" spans="1:3" ht="34.5" x14ac:dyDescent="0.25">
      <c r="A6" s="2">
        <v>5</v>
      </c>
      <c r="B6" s="2" t="s">
        <v>131</v>
      </c>
      <c r="C6" s="2">
        <f t="shared" ca="1" si="0"/>
        <v>50</v>
      </c>
    </row>
    <row r="7" spans="1:3" ht="17.25" x14ac:dyDescent="0.25">
      <c r="A7" s="2">
        <v>6</v>
      </c>
      <c r="B7" s="2" t="s">
        <v>83</v>
      </c>
      <c r="C7" s="2">
        <f t="shared" ca="1" si="0"/>
        <v>85</v>
      </c>
    </row>
    <row r="8" spans="1:3" ht="17.25" x14ac:dyDescent="0.25">
      <c r="A8" s="5">
        <v>7</v>
      </c>
      <c r="B8" s="5" t="s">
        <v>128</v>
      </c>
      <c r="C8" s="2">
        <f t="shared" ca="1" si="0"/>
        <v>44</v>
      </c>
    </row>
    <row r="9" spans="1:3" ht="34.5" x14ac:dyDescent="0.25">
      <c r="A9" s="2">
        <v>8</v>
      </c>
      <c r="B9" s="2" t="s">
        <v>129</v>
      </c>
      <c r="C9" s="2">
        <f t="shared" ca="1" si="0"/>
        <v>65</v>
      </c>
    </row>
    <row r="10" spans="1:3" ht="17.25" x14ac:dyDescent="0.25">
      <c r="A10" s="5">
        <v>9</v>
      </c>
      <c r="B10" s="5" t="s">
        <v>130</v>
      </c>
      <c r="C10" s="2">
        <f t="shared" ca="1" si="0"/>
        <v>98</v>
      </c>
    </row>
    <row r="11" spans="1:3" ht="34.5" x14ac:dyDescent="0.25">
      <c r="A11" s="2">
        <v>10</v>
      </c>
      <c r="B11" s="2" t="s">
        <v>131</v>
      </c>
      <c r="C11" s="2">
        <f t="shared" ca="1" si="0"/>
        <v>21</v>
      </c>
    </row>
    <row r="12" spans="1:3" ht="17.25" x14ac:dyDescent="0.25">
      <c r="A12" s="2">
        <v>11</v>
      </c>
      <c r="B12" s="2" t="s">
        <v>83</v>
      </c>
      <c r="C12" s="2">
        <f t="shared" ca="1" si="0"/>
        <v>30</v>
      </c>
    </row>
    <row r="13" spans="1:3" ht="17.25" x14ac:dyDescent="0.25">
      <c r="A13" s="5">
        <v>12</v>
      </c>
      <c r="B13" s="5" t="s">
        <v>128</v>
      </c>
      <c r="C13" s="2">
        <f t="shared" ca="1" si="0"/>
        <v>21</v>
      </c>
    </row>
    <row r="14" spans="1:3" ht="34.5" x14ac:dyDescent="0.25">
      <c r="A14" s="2">
        <v>13</v>
      </c>
      <c r="B14" s="2" t="s">
        <v>129</v>
      </c>
      <c r="C14" s="2">
        <f t="shared" ca="1" si="0"/>
        <v>52</v>
      </c>
    </row>
    <row r="15" spans="1:3" ht="17.25" x14ac:dyDescent="0.25">
      <c r="A15" s="5">
        <v>14</v>
      </c>
      <c r="B15" s="5" t="s">
        <v>130</v>
      </c>
      <c r="C15" s="2">
        <f t="shared" ca="1" si="0"/>
        <v>91</v>
      </c>
    </row>
    <row r="16" spans="1:3" ht="34.5" x14ac:dyDescent="0.25">
      <c r="A16" s="2">
        <v>15</v>
      </c>
      <c r="B16" s="2" t="s">
        <v>131</v>
      </c>
      <c r="C16" s="2">
        <f t="shared" ca="1" si="0"/>
        <v>21</v>
      </c>
    </row>
    <row r="17" spans="1:3" ht="17.25" x14ac:dyDescent="0.25">
      <c r="A17" s="2">
        <v>16</v>
      </c>
      <c r="B17" s="2" t="s">
        <v>83</v>
      </c>
      <c r="C17" s="2">
        <f t="shared" ca="1" si="0"/>
        <v>53</v>
      </c>
    </row>
    <row r="18" spans="1:3" ht="17.25" x14ac:dyDescent="0.25">
      <c r="A18" s="5">
        <v>17</v>
      </c>
      <c r="B18" s="5" t="s">
        <v>128</v>
      </c>
      <c r="C18" s="2">
        <f t="shared" ca="1" si="0"/>
        <v>51</v>
      </c>
    </row>
    <row r="19" spans="1:3" ht="34.5" x14ac:dyDescent="0.25">
      <c r="A19" s="2">
        <v>18</v>
      </c>
      <c r="B19" s="2" t="s">
        <v>129</v>
      </c>
      <c r="C19" s="2">
        <f t="shared" ca="1" si="0"/>
        <v>83</v>
      </c>
    </row>
    <row r="20" spans="1:3" ht="17.25" x14ac:dyDescent="0.25">
      <c r="A20" s="5">
        <v>19</v>
      </c>
      <c r="B20" s="5" t="s">
        <v>130</v>
      </c>
      <c r="C20" s="2">
        <f t="shared" ca="1" si="0"/>
        <v>71</v>
      </c>
    </row>
    <row r="21" spans="1:3" ht="34.5" x14ac:dyDescent="0.25">
      <c r="A21" s="2">
        <v>20</v>
      </c>
      <c r="B21" s="2" t="s">
        <v>131</v>
      </c>
      <c r="C21" s="2">
        <f t="shared" ca="1" si="0"/>
        <v>68</v>
      </c>
    </row>
  </sheetData>
  <conditionalFormatting sqref="C2:C21">
    <cfRule type="cellIs" dxfId="6" priority="2" operator="greaterThan">
      <formula>74</formula>
    </cfRule>
    <cfRule type="cellIs" dxfId="7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BE3F-60A0-4E46-99BF-80D33FDAFF41}">
  <dimension ref="A1:D20"/>
  <sheetViews>
    <sheetView workbookViewId="0">
      <selection activeCell="C4" sqref="C4"/>
    </sheetView>
  </sheetViews>
  <sheetFormatPr defaultRowHeight="15" x14ac:dyDescent="0.25"/>
  <cols>
    <col min="1" max="1" width="14.140625" customWidth="1"/>
  </cols>
  <sheetData>
    <row r="1" spans="1:4" ht="34.5" x14ac:dyDescent="0.25">
      <c r="A1" s="14" t="s">
        <v>78</v>
      </c>
      <c r="B1" s="14" t="s">
        <v>3</v>
      </c>
      <c r="C1" s="13"/>
      <c r="D1" s="13"/>
    </row>
    <row r="2" spans="1:4" ht="17.25" x14ac:dyDescent="0.25">
      <c r="A2" s="2" t="s">
        <v>132</v>
      </c>
      <c r="B2" s="2">
        <f ca="1">RANDBETWEEN(20000,50000)</f>
        <v>26767</v>
      </c>
      <c r="C2" s="13"/>
      <c r="D2" s="13"/>
    </row>
    <row r="3" spans="1:4" ht="17.25" x14ac:dyDescent="0.25">
      <c r="A3" s="5" t="s">
        <v>133</v>
      </c>
      <c r="B3" s="2">
        <f t="shared" ref="B3:B20" ca="1" si="0">RANDBETWEEN(20000,50000)</f>
        <v>39053</v>
      </c>
      <c r="C3" s="13"/>
      <c r="D3" s="13"/>
    </row>
    <row r="4" spans="1:4" ht="17.25" x14ac:dyDescent="0.25">
      <c r="A4" s="2" t="s">
        <v>134</v>
      </c>
      <c r="B4" s="2">
        <f t="shared" ca="1" si="0"/>
        <v>26714</v>
      </c>
      <c r="C4" s="13"/>
      <c r="D4" s="13"/>
    </row>
    <row r="5" spans="1:4" ht="17.25" x14ac:dyDescent="0.25">
      <c r="A5" s="5" t="s">
        <v>135</v>
      </c>
      <c r="B5" s="2">
        <f t="shared" ca="1" si="0"/>
        <v>28674</v>
      </c>
      <c r="C5" s="13"/>
      <c r="D5" s="13"/>
    </row>
    <row r="6" spans="1:4" ht="17.25" x14ac:dyDescent="0.25">
      <c r="A6" s="2" t="s">
        <v>136</v>
      </c>
      <c r="B6" s="2">
        <f t="shared" ca="1" si="0"/>
        <v>36225</v>
      </c>
      <c r="C6" s="13"/>
      <c r="D6" s="13"/>
    </row>
    <row r="7" spans="1:4" ht="17.25" x14ac:dyDescent="0.25">
      <c r="A7" s="2" t="s">
        <v>132</v>
      </c>
      <c r="B7" s="2">
        <f t="shared" ca="1" si="0"/>
        <v>23804</v>
      </c>
      <c r="C7" s="13"/>
      <c r="D7" s="13"/>
    </row>
    <row r="8" spans="1:4" ht="17.25" x14ac:dyDescent="0.25">
      <c r="A8" s="5" t="s">
        <v>133</v>
      </c>
      <c r="B8" s="2">
        <f t="shared" ca="1" si="0"/>
        <v>28536</v>
      </c>
      <c r="C8" s="13"/>
      <c r="D8" s="13"/>
    </row>
    <row r="9" spans="1:4" ht="17.25" x14ac:dyDescent="0.25">
      <c r="A9" s="2" t="s">
        <v>134</v>
      </c>
      <c r="B9" s="2">
        <f t="shared" ca="1" si="0"/>
        <v>28691</v>
      </c>
      <c r="C9" s="13"/>
      <c r="D9" s="13"/>
    </row>
    <row r="10" spans="1:4" ht="17.25" x14ac:dyDescent="0.25">
      <c r="A10" s="5" t="s">
        <v>135</v>
      </c>
      <c r="B10" s="2">
        <f t="shared" ca="1" si="0"/>
        <v>49592</v>
      </c>
      <c r="C10" s="13"/>
      <c r="D10" s="13"/>
    </row>
    <row r="11" spans="1:4" ht="17.25" x14ac:dyDescent="0.25">
      <c r="A11" s="2" t="s">
        <v>136</v>
      </c>
      <c r="B11" s="2">
        <f t="shared" ca="1" si="0"/>
        <v>41352</v>
      </c>
      <c r="C11" s="13"/>
      <c r="D11" s="13"/>
    </row>
    <row r="12" spans="1:4" ht="17.25" x14ac:dyDescent="0.25">
      <c r="A12" s="2" t="s">
        <v>132</v>
      </c>
      <c r="B12" s="2">
        <f t="shared" ca="1" si="0"/>
        <v>27749</v>
      </c>
      <c r="C12" s="13"/>
      <c r="D12" s="13"/>
    </row>
    <row r="13" spans="1:4" ht="17.25" x14ac:dyDescent="0.25">
      <c r="A13" s="5" t="s">
        <v>133</v>
      </c>
      <c r="B13" s="2">
        <f t="shared" ca="1" si="0"/>
        <v>28217</v>
      </c>
      <c r="C13" s="13"/>
      <c r="D13" s="13"/>
    </row>
    <row r="14" spans="1:4" ht="17.25" x14ac:dyDescent="0.25">
      <c r="A14" s="2" t="s">
        <v>134</v>
      </c>
      <c r="B14" s="2">
        <f t="shared" ca="1" si="0"/>
        <v>22108</v>
      </c>
      <c r="C14" s="13"/>
      <c r="D14" s="13"/>
    </row>
    <row r="15" spans="1:4" ht="17.25" x14ac:dyDescent="0.25">
      <c r="A15" s="5" t="s">
        <v>135</v>
      </c>
      <c r="B15" s="2">
        <f t="shared" ca="1" si="0"/>
        <v>21227</v>
      </c>
      <c r="C15" s="13"/>
      <c r="D15" s="13"/>
    </row>
    <row r="16" spans="1:4" ht="17.25" x14ac:dyDescent="0.25">
      <c r="A16" s="2" t="s">
        <v>136</v>
      </c>
      <c r="B16" s="2">
        <f t="shared" ca="1" si="0"/>
        <v>47122</v>
      </c>
      <c r="C16" s="13"/>
      <c r="D16" s="13"/>
    </row>
    <row r="17" spans="1:4" ht="17.25" x14ac:dyDescent="0.25">
      <c r="A17" s="2" t="s">
        <v>132</v>
      </c>
      <c r="B17" s="2">
        <f t="shared" ca="1" si="0"/>
        <v>23626</v>
      </c>
      <c r="C17" s="13"/>
      <c r="D17" s="13"/>
    </row>
    <row r="18" spans="1:4" ht="17.25" x14ac:dyDescent="0.25">
      <c r="A18" s="5" t="s">
        <v>133</v>
      </c>
      <c r="B18" s="2">
        <f t="shared" ca="1" si="0"/>
        <v>28886</v>
      </c>
      <c r="C18" s="13"/>
      <c r="D18" s="13"/>
    </row>
    <row r="19" spans="1:4" ht="17.25" x14ac:dyDescent="0.25">
      <c r="A19" s="2" t="s">
        <v>134</v>
      </c>
      <c r="B19" s="2">
        <f t="shared" ca="1" si="0"/>
        <v>36467</v>
      </c>
      <c r="C19" s="13"/>
      <c r="D19" s="13"/>
    </row>
    <row r="20" spans="1:4" ht="17.25" x14ac:dyDescent="0.25">
      <c r="A20" s="5" t="s">
        <v>135</v>
      </c>
      <c r="B20" s="2">
        <f t="shared" ca="1" si="0"/>
        <v>36022</v>
      </c>
      <c r="C20" s="13"/>
      <c r="D20" s="13"/>
    </row>
  </sheetData>
  <conditionalFormatting sqref="B2:B20">
    <cfRule type="cellIs" dxfId="0" priority="3" operator="greaterThan">
      <formula>40000</formula>
    </cfRule>
    <cfRule type="cellIs" dxfId="1" priority="2" operator="lessThan">
      <formula>30000</formula>
    </cfRule>
    <cfRule type="cellIs" dxfId="2" priority="1" operator="between">
      <formula>30000</formula>
      <formula>40000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ASDC24</dc:creator>
  <cp:lastModifiedBy>ASDC24</cp:lastModifiedBy>
  <dcterms:created xsi:type="dcterms:W3CDTF">2026-07-04T07:50:11Z</dcterms:created>
  <dcterms:modified xsi:type="dcterms:W3CDTF">2026-07-04T09:40:49Z</dcterms:modified>
</cp:coreProperties>
</file>