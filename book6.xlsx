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ruv patel\Downloads\"/>
    </mc:Choice>
  </mc:AlternateContent>
  <xr:revisionPtr revIDLastSave="0" documentId="13_ncr:1_{5D5864AC-122D-4CF1-B10E-C02F7B98A0F6}" xr6:coauthVersionLast="47" xr6:coauthVersionMax="47" xr10:uidLastSave="{00000000-0000-0000-0000-000000000000}"/>
  <bookViews>
    <workbookView xWindow="-108" yWindow="-108" windowWidth="23256" windowHeight="12456" activeTab="9" xr2:uid="{9D2B92A2-A8A1-4207-B668-A10483AE2D86}"/>
  </bookViews>
  <sheets>
    <sheet name="Task 01" sheetId="1" r:id="rId1"/>
    <sheet name="Task 02" sheetId="2" r:id="rId2"/>
    <sheet name="Task 03" sheetId="3" r:id="rId3"/>
    <sheet name="Task 04" sheetId="4" r:id="rId4"/>
    <sheet name="Task 05" sheetId="5" r:id="rId5"/>
    <sheet name="Task 06" sheetId="6" r:id="rId6"/>
    <sheet name="Task 07" sheetId="7" r:id="rId7"/>
    <sheet name="Task 08" sheetId="8" r:id="rId8"/>
    <sheet name="Task 09" sheetId="9" r:id="rId9"/>
    <sheet name="Task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2" i="10"/>
  <c r="F3" i="10"/>
  <c r="F4" i="10"/>
  <c r="F5" i="10"/>
  <c r="F2" i="10"/>
  <c r="G3" i="9"/>
  <c r="G4" i="9"/>
  <c r="G5" i="9"/>
  <c r="G2" i="9"/>
  <c r="E3" i="10"/>
  <c r="E4" i="10"/>
  <c r="E5" i="10"/>
  <c r="E2" i="10"/>
  <c r="F3" i="9"/>
  <c r="F4" i="9"/>
  <c r="F5" i="9"/>
  <c r="F2" i="9"/>
  <c r="E3" i="9"/>
  <c r="E4" i="9"/>
  <c r="E5" i="9"/>
  <c r="E2" i="9"/>
  <c r="G3" i="8"/>
  <c r="G4" i="8"/>
  <c r="G5" i="8"/>
  <c r="G2" i="8"/>
  <c r="F3" i="8"/>
  <c r="F4" i="8"/>
  <c r="F5" i="8"/>
  <c r="F2" i="8"/>
  <c r="E3" i="8"/>
  <c r="E4" i="8"/>
  <c r="E5" i="8"/>
  <c r="E2" i="8"/>
  <c r="F5" i="7"/>
  <c r="F3" i="7"/>
  <c r="F4" i="7"/>
  <c r="F2" i="7"/>
  <c r="E3" i="7"/>
  <c r="E4" i="7"/>
  <c r="E5" i="7"/>
  <c r="E2" i="7"/>
  <c r="D3" i="7"/>
  <c r="D4" i="7"/>
  <c r="D5" i="7"/>
  <c r="D2" i="7"/>
  <c r="H3" i="6"/>
  <c r="H4" i="6"/>
  <c r="H2" i="6"/>
  <c r="G3" i="6"/>
  <c r="G4" i="6"/>
  <c r="G2" i="6"/>
  <c r="F3" i="6"/>
  <c r="F4" i="6"/>
  <c r="F2" i="6"/>
  <c r="E3" i="6"/>
  <c r="E4" i="6"/>
  <c r="E2" i="6"/>
  <c r="D3" i="6"/>
  <c r="D4" i="6"/>
  <c r="D2" i="6"/>
  <c r="H3" i="5"/>
  <c r="H4" i="5"/>
  <c r="H5" i="5"/>
  <c r="H2" i="5"/>
  <c r="G3" i="5"/>
  <c r="G4" i="5"/>
  <c r="G5" i="5"/>
  <c r="G2" i="5"/>
  <c r="F3" i="5"/>
  <c r="F4" i="5"/>
  <c r="F5" i="5"/>
  <c r="F2" i="5"/>
  <c r="G3" i="4"/>
  <c r="G4" i="4"/>
  <c r="G2" i="4"/>
  <c r="F3" i="4"/>
  <c r="F4" i="4"/>
  <c r="F2" i="4"/>
  <c r="E3" i="4"/>
  <c r="E4" i="4"/>
  <c r="E2" i="4"/>
  <c r="G3" i="3"/>
  <c r="G4" i="3"/>
  <c r="G5" i="3"/>
  <c r="G2" i="3"/>
  <c r="F3" i="3"/>
  <c r="F4" i="3"/>
  <c r="F5" i="3"/>
  <c r="F2" i="3"/>
  <c r="E3" i="3"/>
  <c r="E4" i="3"/>
  <c r="E5" i="3"/>
  <c r="E2" i="3"/>
  <c r="F3" i="2"/>
  <c r="F4" i="2"/>
  <c r="F5" i="2"/>
  <c r="F2" i="2"/>
  <c r="H3" i="1"/>
  <c r="H4" i="1"/>
  <c r="H5" i="1"/>
  <c r="H2" i="1"/>
  <c r="G3" i="1"/>
  <c r="G4" i="1"/>
  <c r="G5" i="1"/>
  <c r="G2" i="1"/>
</calcChain>
</file>

<file path=xl/sharedStrings.xml><?xml version="1.0" encoding="utf-8"?>
<sst xmlns="http://schemas.openxmlformats.org/spreadsheetml/2006/main" count="170" uniqueCount="130">
  <si>
    <t>Order ID</t>
  </si>
  <si>
    <t>Customer</t>
  </si>
  <si>
    <t>Product</t>
  </si>
  <si>
    <t>Qty</t>
  </si>
  <si>
    <t>Unit Price</t>
  </si>
  <si>
    <t>Status</t>
  </si>
  <si>
    <t>O101</t>
  </si>
  <si>
    <t>Amit</t>
  </si>
  <si>
    <t>Laptop</t>
  </si>
  <si>
    <t>Delivered</t>
  </si>
  <si>
    <t>O102</t>
  </si>
  <si>
    <t>Neha</t>
  </si>
  <si>
    <t>Mouse</t>
  </si>
  <si>
    <t>Pending</t>
  </si>
  <si>
    <t>O103</t>
  </si>
  <si>
    <t>Ravi</t>
  </si>
  <si>
    <t>Keyboard</t>
  </si>
  <si>
    <t>O104</t>
  </si>
  <si>
    <t>Priya</t>
  </si>
  <si>
    <t>Monitor</t>
  </si>
  <si>
    <t>Cancelled</t>
  </si>
  <si>
    <t>Total Amount</t>
  </si>
  <si>
    <t>Order</t>
  </si>
  <si>
    <t>Patient ID</t>
  </si>
  <si>
    <t>Name</t>
  </si>
  <si>
    <t>Age</t>
  </si>
  <si>
    <t>Gender</t>
  </si>
  <si>
    <t>Blood Group</t>
  </si>
  <si>
    <t>P101</t>
  </si>
  <si>
    <t>Rahul</t>
  </si>
  <si>
    <t>Male</t>
  </si>
  <si>
    <t>A+</t>
  </si>
  <si>
    <t>P102</t>
  </si>
  <si>
    <t>Sneha</t>
  </si>
  <si>
    <t>Female</t>
  </si>
  <si>
    <t>O-</t>
  </si>
  <si>
    <t>P103</t>
  </si>
  <si>
    <t>B+</t>
  </si>
  <si>
    <t>P104</t>
  </si>
  <si>
    <t>Meera</t>
  </si>
  <si>
    <t>AB+</t>
  </si>
  <si>
    <t>Age Category</t>
  </si>
  <si>
    <t>Movie</t>
  </si>
  <si>
    <t>Seats</t>
  </si>
  <si>
    <t>Ticket Price</t>
  </si>
  <si>
    <t>Avengers</t>
  </si>
  <si>
    <t>Superman</t>
  </si>
  <si>
    <t>Avatar</t>
  </si>
  <si>
    <t>Jurassic World</t>
  </si>
  <si>
    <t>Total Bill</t>
  </si>
  <si>
    <t>Discount</t>
  </si>
  <si>
    <t>Booking ID</t>
  </si>
  <si>
    <t>Book ID</t>
  </si>
  <si>
    <t>Book Name</t>
  </si>
  <si>
    <t>Issue Date</t>
  </si>
  <si>
    <t>Return Date</t>
  </si>
  <si>
    <t>B101</t>
  </si>
  <si>
    <t>Python Programming</t>
  </si>
  <si>
    <t>B102</t>
  </si>
  <si>
    <t>Java Basics</t>
  </si>
  <si>
    <t>B103</t>
  </si>
  <si>
    <t>SQL Guide</t>
  </si>
  <si>
    <t xml:space="preserve">Name </t>
  </si>
  <si>
    <t>Library Code</t>
  </si>
  <si>
    <t>Table</t>
  </si>
  <si>
    <t>Food Item</t>
  </si>
  <si>
    <t>Price</t>
  </si>
  <si>
    <t>T1</t>
  </si>
  <si>
    <t>Pizza</t>
  </si>
  <si>
    <t>T2</t>
  </si>
  <si>
    <t>Burger</t>
  </si>
  <si>
    <t>T3</t>
  </si>
  <si>
    <t>Pasta</t>
  </si>
  <si>
    <t>T4</t>
  </si>
  <si>
    <t>Invoice Number</t>
  </si>
  <si>
    <t>UPPERCASE</t>
  </si>
  <si>
    <t>Passenger</t>
  </si>
  <si>
    <t>Passport No</t>
  </si>
  <si>
    <t>Destination</t>
  </si>
  <si>
    <t>Amit Shah</t>
  </si>
  <si>
    <t>M123456</t>
  </si>
  <si>
    <t>Dubai</t>
  </si>
  <si>
    <t>Ravi Patel</t>
  </si>
  <si>
    <t>N654321</t>
  </si>
  <si>
    <t>Singapore</t>
  </si>
  <si>
    <t>Neha Joshi</t>
  </si>
  <si>
    <t>P987654</t>
  </si>
  <si>
    <t>London</t>
  </si>
  <si>
    <t>First Name</t>
  </si>
  <si>
    <t>Last Name</t>
  </si>
  <si>
    <t>Email ID</t>
  </si>
  <si>
    <t>Prefix</t>
  </si>
  <si>
    <t>Boarding Code</t>
  </si>
  <si>
    <t>Player</t>
  </si>
  <si>
    <t>Runs</t>
  </si>
  <si>
    <t>Matches</t>
  </si>
  <si>
    <t>Virat</t>
  </si>
  <si>
    <t>Rohit</t>
  </si>
  <si>
    <t>Gill</t>
  </si>
  <si>
    <t>SKY</t>
  </si>
  <si>
    <t>Average Run</t>
  </si>
  <si>
    <t>Performance</t>
  </si>
  <si>
    <t>Player Code</t>
  </si>
  <si>
    <t>Member</t>
  </si>
  <si>
    <t>Membership</t>
  </si>
  <si>
    <t>Fee</t>
  </si>
  <si>
    <t>Gold</t>
  </si>
  <si>
    <t>Silver</t>
  </si>
  <si>
    <t>Platinum</t>
  </si>
  <si>
    <t>Membership ID</t>
  </si>
  <si>
    <t>Proper</t>
  </si>
  <si>
    <t>Student</t>
  </si>
  <si>
    <t>Course</t>
  </si>
  <si>
    <t>Payment Status</t>
  </si>
  <si>
    <t>Excel</t>
  </si>
  <si>
    <t>Paid</t>
  </si>
  <si>
    <t>SQL</t>
  </si>
  <si>
    <t>Power BI</t>
  </si>
  <si>
    <t>Python</t>
  </si>
  <si>
    <t> Enrollment Status</t>
  </si>
  <si>
    <t>Student Code</t>
  </si>
  <si>
    <t>Course &amp; Student</t>
  </si>
  <si>
    <t>Candidate</t>
  </si>
  <si>
    <t>Experience</t>
  </si>
  <si>
    <t>Test Score</t>
  </si>
  <si>
    <t>Interview</t>
  </si>
  <si>
    <t>Yes</t>
  </si>
  <si>
    <t>No</t>
  </si>
  <si>
    <t>Final Result</t>
  </si>
  <si>
    <t>Candidate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</si>
</sst>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1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1F2328"/>
      <name val="Segoe UI"/>
      <family val="2"/>
    </font>
    <font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0"/>
      <color rgb="FF1F2328"/>
      <name val="Segoe UI"/>
      <family val="2"/>
    </font>
    <font>
      <sz val="10"/>
      <color rgb="FF1F2328"/>
      <name val="Segoe UI"/>
      <family val="2"/>
    </font>
    <font>
      <b/>
      <sz val="12"/>
      <color rgb="FFFFFFFF"/>
      <name val="Segoe UI"/>
      <family val="2"/>
    </font>
    <font>
      <b/>
      <sz val="12"/>
      <color theme="1"/>
      <name val="Calibri"/>
      <family val="2"/>
      <scheme val="minor"/>
    </font>
    <font>
      <b/>
      <sz val="11"/>
      <color rgb="FF1F2328"/>
      <name val="Segoe UI"/>
      <family val="2"/>
    </font>
    <font>
      <b/>
      <sz val="12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5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right" vertical="center" wrapText="1" indent="1"/>
    </xf>
    <xf numFmtId="164" fontId="2" fillId="5" borderId="1" xfId="0" applyNumberFormat="1" applyFont="1" applyFill="1" applyBorder="1" applyAlignment="1">
      <alignment horizontal="right" vertical="center" wrapText="1" indent="1"/>
    </xf>
    <xf numFmtId="164" fontId="3" fillId="5" borderId="1" xfId="0" applyNumberFormat="1" applyFont="1" applyFill="1" applyBorder="1"/>
    <xf numFmtId="0" fontId="3" fillId="5" borderId="1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7" xfId="0" applyFont="1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14" fontId="7" fillId="2" borderId="1" xfId="0" applyNumberFormat="1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14" fontId="7" fillId="3" borderId="1" xfId="0" applyNumberFormat="1" applyFont="1" applyFill="1" applyBorder="1" applyAlignment="1">
      <alignment horizontal="left" vertical="center" wrapText="1" inden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 wrapText="1" indent="1"/>
    </xf>
    <xf numFmtId="0" fontId="5" fillId="4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69D5A2"/>
        </patternFill>
      </fill>
    </dxf>
    <dxf>
      <fill>
        <patternFill>
          <bgColor rgb="FF97E1C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66"/>
          <bgColor rgb="FFFA7E7E"/>
        </patternFill>
      </fill>
    </dxf>
    <dxf>
      <fill>
        <patternFill>
          <bgColor rgb="FFFF5D5D"/>
        </patternFill>
      </fill>
    </dxf>
    <dxf>
      <fill>
        <patternFill>
          <bgColor rgb="FFFF5D5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7E1C5"/>
      <color rgb="FF69D5A2"/>
      <color rgb="FFFA7E7E"/>
      <color rgb="FF87CBCB"/>
      <color rgb="FFFFFFFF"/>
      <color rgb="FFFF5D5D"/>
      <color rgb="FFFE7A7A"/>
      <color rgb="FFFF7979"/>
      <color rgb="FFFF0066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57E2E-4250-4462-9F5A-0326DD1F94C7}">
  <dimension ref="A1:H5"/>
  <sheetViews>
    <sheetView workbookViewId="0">
      <selection sqref="A1:H1"/>
    </sheetView>
  </sheetViews>
  <sheetFormatPr defaultRowHeight="14.4" x14ac:dyDescent="0.3"/>
  <cols>
    <col min="1" max="1" width="11" bestFit="1" customWidth="1"/>
    <col min="2" max="2" width="12.109375" bestFit="1" customWidth="1"/>
    <col min="3" max="3" width="12" bestFit="1" customWidth="1"/>
    <col min="4" max="4" width="6.6640625" bestFit="1" customWidth="1"/>
    <col min="5" max="5" width="17.5546875" bestFit="1" customWidth="1"/>
    <col min="6" max="6" width="12.109375" bestFit="1" customWidth="1"/>
    <col min="7" max="7" width="16" bestFit="1" customWidth="1"/>
    <col min="8" max="8" width="10.5546875" bestFit="1" customWidth="1"/>
  </cols>
  <sheetData>
    <row r="1" spans="1:8" ht="19.2" x14ac:dyDescent="0.3">
      <c r="A1" s="42" t="s">
        <v>0</v>
      </c>
      <c r="B1" s="42" t="s">
        <v>1</v>
      </c>
      <c r="C1" s="42" t="s">
        <v>2</v>
      </c>
      <c r="D1" s="43" t="s">
        <v>3</v>
      </c>
      <c r="E1" s="43" t="s">
        <v>4</v>
      </c>
      <c r="F1" s="42" t="s">
        <v>5</v>
      </c>
      <c r="G1" s="44" t="s">
        <v>21</v>
      </c>
      <c r="H1" s="44" t="s">
        <v>22</v>
      </c>
    </row>
    <row r="2" spans="1:8" ht="19.2" x14ac:dyDescent="0.3">
      <c r="A2" s="1" t="s">
        <v>6</v>
      </c>
      <c r="B2" s="1" t="s">
        <v>7</v>
      </c>
      <c r="C2" s="1" t="s">
        <v>8</v>
      </c>
      <c r="D2" s="2">
        <v>2</v>
      </c>
      <c r="E2" s="3">
        <v>45000</v>
      </c>
      <c r="F2" s="1" t="s">
        <v>9</v>
      </c>
      <c r="G2" s="4">
        <f>D2*E2</f>
        <v>90000</v>
      </c>
      <c r="H2" s="5" t="str">
        <f>IF(G2&gt;50000,"High Value","Normal")</f>
        <v>High Value</v>
      </c>
    </row>
    <row r="3" spans="1:8" ht="19.2" x14ac:dyDescent="0.3">
      <c r="A3" s="1" t="s">
        <v>10</v>
      </c>
      <c r="B3" s="1" t="s">
        <v>11</v>
      </c>
      <c r="C3" s="1" t="s">
        <v>12</v>
      </c>
      <c r="D3" s="2">
        <v>5</v>
      </c>
      <c r="E3" s="3">
        <v>700</v>
      </c>
      <c r="F3" s="1" t="s">
        <v>13</v>
      </c>
      <c r="G3" s="4">
        <f t="shared" ref="G3:G5" si="0">D3*E3</f>
        <v>3500</v>
      </c>
      <c r="H3" s="5" t="str">
        <f t="shared" ref="H3:H5" si="1">IF(G3&gt;50000,"High Value","Normal")</f>
        <v>Normal</v>
      </c>
    </row>
    <row r="4" spans="1:8" ht="19.2" x14ac:dyDescent="0.3">
      <c r="A4" s="1" t="s">
        <v>14</v>
      </c>
      <c r="B4" s="1" t="s">
        <v>15</v>
      </c>
      <c r="C4" s="1" t="s">
        <v>16</v>
      </c>
      <c r="D4" s="2">
        <v>3</v>
      </c>
      <c r="E4" s="3">
        <v>1500</v>
      </c>
      <c r="F4" s="1" t="s">
        <v>9</v>
      </c>
      <c r="G4" s="4">
        <f t="shared" si="0"/>
        <v>4500</v>
      </c>
      <c r="H4" s="5" t="str">
        <f t="shared" si="1"/>
        <v>Normal</v>
      </c>
    </row>
    <row r="5" spans="1:8" ht="19.2" x14ac:dyDescent="0.3">
      <c r="A5" s="1" t="s">
        <v>17</v>
      </c>
      <c r="B5" s="1" t="s">
        <v>18</v>
      </c>
      <c r="C5" s="1" t="s">
        <v>19</v>
      </c>
      <c r="D5" s="2">
        <v>1</v>
      </c>
      <c r="E5" s="3">
        <v>18000</v>
      </c>
      <c r="F5" s="1" t="s">
        <v>20</v>
      </c>
      <c r="G5" s="4">
        <f t="shared" si="0"/>
        <v>18000</v>
      </c>
      <c r="H5" s="5" t="str">
        <f t="shared" si="1"/>
        <v>Normal</v>
      </c>
    </row>
  </sheetData>
  <conditionalFormatting sqref="F5">
    <cfRule type="containsText" dxfId="13" priority="2" operator="containsText" text="Cancelled">
      <formula>NOT(ISERROR(SEARCH("Cancelled",F5)))</formula>
    </cfRule>
  </conditionalFormatting>
  <conditionalFormatting sqref="G2:G5">
    <cfRule type="cellIs" dxfId="12" priority="1" operator="greaterThan">
      <formula>50000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CBF8-6DA8-4B7B-909B-A7B3D7A29FEB}">
  <dimension ref="A1:F5"/>
  <sheetViews>
    <sheetView workbookViewId="0">
      <selection activeCell="F2" sqref="F2"/>
    </sheetView>
  </sheetViews>
  <sheetFormatPr defaultRowHeight="14.4" x14ac:dyDescent="0.3"/>
  <cols>
    <col min="1" max="1" width="11.5546875" bestFit="1" customWidth="1"/>
    <col min="2" max="2" width="7.21875" bestFit="1" customWidth="1"/>
    <col min="3" max="3" width="5.109375" bestFit="1" customWidth="1"/>
    <col min="4" max="4" width="8.5546875" bestFit="1" customWidth="1"/>
    <col min="5" max="5" width="14.33203125" bestFit="1" customWidth="1"/>
    <col min="6" max="6" width="15.33203125" bestFit="1" customWidth="1"/>
  </cols>
  <sheetData>
    <row r="1" spans="1:6" ht="28.5" customHeight="1" x14ac:dyDescent="0.3">
      <c r="A1" s="6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8" t="s">
        <v>41</v>
      </c>
    </row>
    <row r="2" spans="1:6" ht="19.2" x14ac:dyDescent="0.3">
      <c r="A2" s="9" t="s">
        <v>28</v>
      </c>
      <c r="B2" s="10" t="s">
        <v>29</v>
      </c>
      <c r="C2" s="10">
        <v>25</v>
      </c>
      <c r="D2" s="10" t="s">
        <v>30</v>
      </c>
      <c r="E2" s="10" t="s">
        <v>31</v>
      </c>
      <c r="F2" s="11" t="str">
        <f>IF(C2&lt;18,"Minor",IF(C2&lt;60,"Adult",IF(C2&gt;60,"Senior Citizen")))</f>
        <v>Adult</v>
      </c>
    </row>
    <row r="3" spans="1:6" ht="16.5" customHeight="1" x14ac:dyDescent="0.3">
      <c r="A3" s="12" t="s">
        <v>32</v>
      </c>
      <c r="B3" s="13" t="s">
        <v>33</v>
      </c>
      <c r="C3" s="13">
        <v>62</v>
      </c>
      <c r="D3" s="13" t="s">
        <v>34</v>
      </c>
      <c r="E3" s="13" t="s">
        <v>35</v>
      </c>
      <c r="F3" s="11" t="str">
        <f t="shared" ref="F3:F5" si="0">IF(C3&lt;18,"Minor",IF(C3&lt;60,"Adult",IF(C3&gt;60,"Senior Citizen")))</f>
        <v>Senior Citizen</v>
      </c>
    </row>
    <row r="4" spans="1:6" ht="19.2" x14ac:dyDescent="0.3">
      <c r="A4" s="9" t="s">
        <v>36</v>
      </c>
      <c r="B4" s="10" t="s">
        <v>15</v>
      </c>
      <c r="C4" s="10">
        <v>70</v>
      </c>
      <c r="D4" s="10" t="s">
        <v>30</v>
      </c>
      <c r="E4" s="10" t="s">
        <v>37</v>
      </c>
      <c r="F4" s="11" t="str">
        <f t="shared" si="0"/>
        <v>Senior Citizen</v>
      </c>
    </row>
    <row r="5" spans="1:6" ht="16.5" customHeight="1" thickBot="1" x14ac:dyDescent="0.35">
      <c r="A5" s="14" t="s">
        <v>38</v>
      </c>
      <c r="B5" s="15" t="s">
        <v>39</v>
      </c>
      <c r="C5" s="15">
        <v>15</v>
      </c>
      <c r="D5" s="15" t="s">
        <v>34</v>
      </c>
      <c r="E5" s="15" t="s">
        <v>40</v>
      </c>
      <c r="F5" s="16" t="str">
        <f t="shared" si="0"/>
        <v>Minor</v>
      </c>
    </row>
  </sheetData>
  <conditionalFormatting sqref="C2:C5">
    <cfRule type="cellIs" dxfId="11" priority="1" operator="lessThan">
      <formula>18</formula>
    </cfRule>
    <cfRule type="cellIs" dxfId="10" priority="2" operator="greaterThan">
      <formula>60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5B43D-0389-4D8A-9FC5-9E0D5D9B79B3}">
  <dimension ref="A1:G5"/>
  <sheetViews>
    <sheetView zoomScale="142" workbookViewId="0">
      <selection sqref="A1:G1"/>
    </sheetView>
  </sheetViews>
  <sheetFormatPr defaultRowHeight="14.4" x14ac:dyDescent="0.3"/>
  <cols>
    <col min="1" max="1" width="10.109375" bestFit="1" customWidth="1"/>
    <col min="2" max="2" width="11" bestFit="1" customWidth="1"/>
    <col min="3" max="3" width="7.33203125" bestFit="1" customWidth="1"/>
    <col min="4" max="4" width="13.33203125" bestFit="1" customWidth="1"/>
    <col min="5" max="5" width="11.5546875" customWidth="1"/>
    <col min="6" max="6" width="11.109375" customWidth="1"/>
    <col min="7" max="7" width="14.44140625" customWidth="1"/>
  </cols>
  <sheetData>
    <row r="1" spans="1:7" ht="15" x14ac:dyDescent="0.3">
      <c r="A1" s="28" t="s">
        <v>1</v>
      </c>
      <c r="B1" s="28" t="s">
        <v>42</v>
      </c>
      <c r="C1" s="28" t="s">
        <v>43</v>
      </c>
      <c r="D1" s="28" t="s">
        <v>44</v>
      </c>
      <c r="E1" s="45" t="s">
        <v>49</v>
      </c>
      <c r="F1" s="28" t="s">
        <v>50</v>
      </c>
      <c r="G1" s="28" t="s">
        <v>51</v>
      </c>
    </row>
    <row r="2" spans="1:7" ht="15" x14ac:dyDescent="0.3">
      <c r="A2" s="17" t="s">
        <v>7</v>
      </c>
      <c r="B2" s="17" t="s">
        <v>45</v>
      </c>
      <c r="C2" s="17">
        <v>2</v>
      </c>
      <c r="D2" s="17">
        <v>350</v>
      </c>
      <c r="E2" s="20">
        <f>C2*D2</f>
        <v>700</v>
      </c>
      <c r="F2" s="19" t="str">
        <f>IF(E2&gt;1000,"Eligible","Not Eligible")</f>
        <v>Not Eligible</v>
      </c>
      <c r="G2" s="19" t="str">
        <f>_xlfn.CONCAT(UPPER(LEFT(A2,2)),"-",C2)</f>
        <v>AM-2</v>
      </c>
    </row>
    <row r="3" spans="1:7" ht="15" x14ac:dyDescent="0.3">
      <c r="A3" s="18" t="s">
        <v>15</v>
      </c>
      <c r="B3" s="18" t="s">
        <v>46</v>
      </c>
      <c r="C3" s="18">
        <v>5</v>
      </c>
      <c r="D3" s="18">
        <v>280</v>
      </c>
      <c r="E3" s="20">
        <f t="shared" ref="E3:E5" si="0">C3*D3</f>
        <v>1400</v>
      </c>
      <c r="F3" s="19" t="str">
        <f t="shared" ref="F3:F5" si="1">IF(E3&gt;1000,"Eligible","Not Eligible")</f>
        <v>Eligible</v>
      </c>
      <c r="G3" s="19" t="str">
        <f t="shared" ref="G3:G5" si="2">_xlfn.CONCAT(UPPER(LEFT(A3,2)),"-",C3)</f>
        <v>RA-5</v>
      </c>
    </row>
    <row r="4" spans="1:7" ht="15" x14ac:dyDescent="0.3">
      <c r="A4" s="17" t="s">
        <v>11</v>
      </c>
      <c r="B4" s="17" t="s">
        <v>47</v>
      </c>
      <c r="C4" s="17">
        <v>3</v>
      </c>
      <c r="D4" s="17">
        <v>400</v>
      </c>
      <c r="E4" s="20">
        <f t="shared" si="0"/>
        <v>1200</v>
      </c>
      <c r="F4" s="19" t="str">
        <f t="shared" si="1"/>
        <v>Eligible</v>
      </c>
      <c r="G4" s="19" t="str">
        <f t="shared" si="2"/>
        <v>NE-3</v>
      </c>
    </row>
    <row r="5" spans="1:7" ht="29.4" customHeight="1" x14ac:dyDescent="0.3">
      <c r="A5" s="18" t="s">
        <v>18</v>
      </c>
      <c r="B5" s="18" t="s">
        <v>48</v>
      </c>
      <c r="C5" s="18">
        <v>1</v>
      </c>
      <c r="D5" s="18">
        <v>500</v>
      </c>
      <c r="E5" s="20">
        <f t="shared" si="0"/>
        <v>500</v>
      </c>
      <c r="F5" s="19" t="str">
        <f t="shared" si="1"/>
        <v>Not Eligible</v>
      </c>
      <c r="G5" s="19" t="str">
        <f t="shared" si="2"/>
        <v>PR-1</v>
      </c>
    </row>
  </sheetData>
  <conditionalFormatting sqref="E2:E5">
    <cfRule type="cellIs" dxfId="9" priority="1" operator="greaterThan">
      <formula>1000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376B-F436-450A-90C0-9E9D200B4684}">
  <dimension ref="A1:G4"/>
  <sheetViews>
    <sheetView workbookViewId="0">
      <selection activeCell="G3" sqref="G3"/>
    </sheetView>
  </sheetViews>
  <sheetFormatPr defaultRowHeight="14.4" x14ac:dyDescent="0.3"/>
  <cols>
    <col min="1" max="1" width="8.109375" bestFit="1" customWidth="1"/>
    <col min="2" max="2" width="14.109375" bestFit="1" customWidth="1"/>
    <col min="3" max="4" width="11.88671875" bestFit="1" customWidth="1"/>
    <col min="5" max="5" width="15.77734375" bestFit="1" customWidth="1"/>
    <col min="6" max="6" width="6.6640625" bestFit="1" customWidth="1"/>
    <col min="7" max="7" width="12.44140625" bestFit="1" customWidth="1"/>
  </cols>
  <sheetData>
    <row r="1" spans="1:7" ht="21.6" customHeight="1" x14ac:dyDescent="0.3">
      <c r="A1" s="28" t="s">
        <v>52</v>
      </c>
      <c r="B1" s="28" t="s">
        <v>53</v>
      </c>
      <c r="C1" s="28" t="s">
        <v>54</v>
      </c>
      <c r="D1" s="28" t="s">
        <v>55</v>
      </c>
      <c r="E1" s="28" t="s">
        <v>5</v>
      </c>
      <c r="F1" s="28" t="s">
        <v>62</v>
      </c>
      <c r="G1" s="28" t="s">
        <v>63</v>
      </c>
    </row>
    <row r="2" spans="1:7" ht="30" x14ac:dyDescent="0.3">
      <c r="A2" s="24" t="s">
        <v>56</v>
      </c>
      <c r="B2" s="24" t="s">
        <v>57</v>
      </c>
      <c r="C2" s="25">
        <v>46204</v>
      </c>
      <c r="D2" s="25">
        <v>46211</v>
      </c>
      <c r="E2" s="21" t="str">
        <f>IF(D2-C2&gt;7,"Late Return","Returned On Time")</f>
        <v>Returned On Time</v>
      </c>
      <c r="F2" s="21" t="str">
        <f>LEFT(B2,FIND(" ",B2)-1)</f>
        <v>Python</v>
      </c>
      <c r="G2" s="21" t="str">
        <f>_xlfn.CONCAT(A2,"-",LEFT(B2,FIND(" ",B2)-1))</f>
        <v>B101-Python</v>
      </c>
    </row>
    <row r="3" spans="1:7" ht="24" customHeight="1" x14ac:dyDescent="0.3">
      <c r="A3" s="26" t="s">
        <v>58</v>
      </c>
      <c r="B3" s="26" t="s">
        <v>59</v>
      </c>
      <c r="C3" s="27">
        <v>46205</v>
      </c>
      <c r="D3" s="27">
        <v>46221</v>
      </c>
      <c r="E3" s="21" t="str">
        <f t="shared" ref="E3:E4" si="0">IF(D3-C3&gt;7,"Late Return","Returned On Time")</f>
        <v>Late Return</v>
      </c>
      <c r="F3" s="21" t="str">
        <f t="shared" ref="F3:F4" si="1">LEFT(B3,FIND(" ",B3)-1)</f>
        <v>Java</v>
      </c>
      <c r="G3" s="21" t="str">
        <f t="shared" ref="G3:G4" si="2">_xlfn.CONCAT(A3,"-",LEFT(B3,FIND(" ",B3)-1))</f>
        <v>B102-Java</v>
      </c>
    </row>
    <row r="4" spans="1:7" ht="28.8" customHeight="1" x14ac:dyDescent="0.3">
      <c r="A4" s="24" t="s">
        <v>60</v>
      </c>
      <c r="B4" s="24" t="s">
        <v>61</v>
      </c>
      <c r="C4" s="25">
        <v>46208</v>
      </c>
      <c r="D4" s="25">
        <v>46215</v>
      </c>
      <c r="E4" s="21" t="str">
        <f t="shared" si="0"/>
        <v>Returned On Time</v>
      </c>
      <c r="F4" s="21" t="str">
        <f t="shared" si="1"/>
        <v>SQL</v>
      </c>
      <c r="G4" s="21" t="str">
        <f t="shared" si="2"/>
        <v>B103-SQL</v>
      </c>
    </row>
  </sheetData>
  <conditionalFormatting sqref="A2:D4">
    <cfRule type="expression" dxfId="8" priority="1">
      <formula>$D2-$C2&gt;7</formula>
    </cfRule>
    <cfRule type="expression" dxfId="7" priority="2">
      <formula>$D$2-$C$2&gt;7</formula>
    </cfRule>
    <cfRule type="expression" dxfId="6" priority="3">
      <formula>($D$2-$C$2)&gt;7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618ED-0F7A-48AD-88C3-77F7AC8B97F4}">
  <dimension ref="A1:I5"/>
  <sheetViews>
    <sheetView workbookViewId="0">
      <selection activeCell="G3" sqref="G3"/>
    </sheetView>
  </sheetViews>
  <sheetFormatPr defaultRowHeight="14.4" x14ac:dyDescent="0.3"/>
  <cols>
    <col min="1" max="1" width="11.21875" customWidth="1"/>
    <col min="2" max="2" width="13.44140625" customWidth="1"/>
    <col min="3" max="3" width="13.6640625" customWidth="1"/>
    <col min="4" max="4" width="10.33203125" customWidth="1"/>
    <col min="5" max="5" width="11.5546875" customWidth="1"/>
    <col min="6" max="6" width="13.77734375" customWidth="1"/>
    <col min="7" max="7" width="17" customWidth="1"/>
    <col min="8" max="8" width="17.77734375" customWidth="1"/>
  </cols>
  <sheetData>
    <row r="1" spans="1:9" ht="15" x14ac:dyDescent="0.3">
      <c r="A1" s="31" t="s">
        <v>64</v>
      </c>
      <c r="B1" s="31" t="s">
        <v>1</v>
      </c>
      <c r="C1" s="31" t="s">
        <v>65</v>
      </c>
      <c r="D1" s="31" t="s">
        <v>3</v>
      </c>
      <c r="E1" s="31" t="s">
        <v>66</v>
      </c>
      <c r="F1" s="31" t="s">
        <v>49</v>
      </c>
      <c r="G1" s="31" t="s">
        <v>74</v>
      </c>
      <c r="H1" s="31" t="s">
        <v>75</v>
      </c>
      <c r="I1" s="32"/>
    </row>
    <row r="2" spans="1:9" ht="15" x14ac:dyDescent="0.3">
      <c r="A2" s="33" t="s">
        <v>67</v>
      </c>
      <c r="B2" s="33" t="s">
        <v>7</v>
      </c>
      <c r="C2" s="33" t="s">
        <v>68</v>
      </c>
      <c r="D2" s="33">
        <v>2</v>
      </c>
      <c r="E2" s="33">
        <v>350</v>
      </c>
      <c r="F2" s="34">
        <f>D2*E2</f>
        <v>700</v>
      </c>
      <c r="G2" s="35" t="str">
        <f>_xlfn.CONCAT(A2,"-",UPPER(B2))</f>
        <v>T1-AMIT</v>
      </c>
      <c r="H2" s="35" t="str">
        <f>UPPER(C2)</f>
        <v>PIZZA</v>
      </c>
      <c r="I2" s="32"/>
    </row>
    <row r="3" spans="1:9" ht="15" x14ac:dyDescent="0.3">
      <c r="A3" s="36" t="s">
        <v>69</v>
      </c>
      <c r="B3" s="36" t="s">
        <v>15</v>
      </c>
      <c r="C3" s="36" t="s">
        <v>70</v>
      </c>
      <c r="D3" s="36">
        <v>3</v>
      </c>
      <c r="E3" s="36">
        <v>180</v>
      </c>
      <c r="F3" s="34">
        <f t="shared" ref="F3:F5" si="0">D3*E3</f>
        <v>540</v>
      </c>
      <c r="G3" s="35" t="str">
        <f t="shared" ref="G3:G5" si="1">_xlfn.CONCAT(A3,"-",UPPER(B3))</f>
        <v>T2-RAVI</v>
      </c>
      <c r="H3" s="35" t="str">
        <f t="shared" ref="H3:H5" si="2">UPPER(C3)</f>
        <v>BURGER</v>
      </c>
      <c r="I3" s="32"/>
    </row>
    <row r="4" spans="1:9" ht="15" x14ac:dyDescent="0.3">
      <c r="A4" s="33" t="s">
        <v>71</v>
      </c>
      <c r="B4" s="33" t="s">
        <v>18</v>
      </c>
      <c r="C4" s="33" t="s">
        <v>72</v>
      </c>
      <c r="D4" s="33">
        <v>1</v>
      </c>
      <c r="E4" s="33">
        <v>280</v>
      </c>
      <c r="F4" s="34">
        <f t="shared" si="0"/>
        <v>280</v>
      </c>
      <c r="G4" s="35" t="str">
        <f t="shared" si="1"/>
        <v>T3-PRIYA</v>
      </c>
      <c r="H4" s="35" t="str">
        <f t="shared" si="2"/>
        <v>PASTA</v>
      </c>
      <c r="I4" s="32"/>
    </row>
    <row r="5" spans="1:9" ht="15" x14ac:dyDescent="0.3">
      <c r="A5" s="36" t="s">
        <v>73</v>
      </c>
      <c r="B5" s="36" t="s">
        <v>11</v>
      </c>
      <c r="C5" s="36" t="s">
        <v>68</v>
      </c>
      <c r="D5" s="36">
        <v>4</v>
      </c>
      <c r="E5" s="36">
        <v>350</v>
      </c>
      <c r="F5" s="34">
        <f t="shared" si="0"/>
        <v>1400</v>
      </c>
      <c r="G5" s="35" t="str">
        <f t="shared" si="1"/>
        <v>T4-NEHA</v>
      </c>
      <c r="H5" s="35" t="str">
        <f t="shared" si="2"/>
        <v>PIZZA</v>
      </c>
      <c r="I5" s="32"/>
    </row>
  </sheetData>
  <conditionalFormatting sqref="F2:F5">
    <cfRule type="cellIs" dxfId="5" priority="1" operator="greaterThan">
      <formula>1000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CA24-2AC3-4499-B583-5D69088A4200}">
  <dimension ref="A1:H4"/>
  <sheetViews>
    <sheetView workbookViewId="0">
      <selection sqref="A1:H1"/>
    </sheetView>
  </sheetViews>
  <sheetFormatPr defaultRowHeight="14.4" x14ac:dyDescent="0.3"/>
  <cols>
    <col min="1" max="1" width="13.6640625" customWidth="1"/>
    <col min="2" max="2" width="15" customWidth="1"/>
    <col min="3" max="3" width="16.44140625" customWidth="1"/>
    <col min="4" max="4" width="19" customWidth="1"/>
    <col min="5" max="5" width="18.77734375" customWidth="1"/>
    <col min="6" max="6" width="27" customWidth="1"/>
    <col min="7" max="7" width="21.109375" customWidth="1"/>
    <col min="8" max="8" width="19" customWidth="1"/>
  </cols>
  <sheetData>
    <row r="1" spans="1:8" ht="30.15" customHeight="1" x14ac:dyDescent="0.3">
      <c r="A1" s="46" t="s">
        <v>76</v>
      </c>
      <c r="B1" s="46" t="s">
        <v>77</v>
      </c>
      <c r="C1" s="46" t="s">
        <v>78</v>
      </c>
      <c r="D1" s="46" t="s">
        <v>88</v>
      </c>
      <c r="E1" s="46" t="s">
        <v>89</v>
      </c>
      <c r="F1" s="46" t="s">
        <v>90</v>
      </c>
      <c r="G1" s="46" t="s">
        <v>91</v>
      </c>
      <c r="H1" s="47" t="s">
        <v>92</v>
      </c>
    </row>
    <row r="2" spans="1:8" ht="30.15" customHeight="1" x14ac:dyDescent="0.3">
      <c r="A2" s="10" t="s">
        <v>79</v>
      </c>
      <c r="B2" s="10" t="s">
        <v>80</v>
      </c>
      <c r="C2" s="10" t="s">
        <v>81</v>
      </c>
      <c r="D2" s="37" t="str">
        <f>LEFT(A2,FIND(" ",A2)-1)</f>
        <v>Amit</v>
      </c>
      <c r="E2" s="37" t="str">
        <f>RIGHT(A2,FIND(" ",A2))</f>
        <v xml:space="preserve"> Shah</v>
      </c>
      <c r="F2" s="37" t="str">
        <f>LOWER(_xlfn.CONCAT(D2,".",E2,"@airport.com"))</f>
        <v>amit. shah@airport.com</v>
      </c>
      <c r="G2" s="37" t="str">
        <f>LEFT(B2,1)</f>
        <v>M</v>
      </c>
      <c r="H2" s="37" t="str">
        <f>_xlfn.CONCAT(UPPER(LEFT(C2,3)),"-",B2)</f>
        <v>DUB-M123456</v>
      </c>
    </row>
    <row r="3" spans="1:8" ht="30.15" customHeight="1" x14ac:dyDescent="0.3">
      <c r="A3" s="13" t="s">
        <v>82</v>
      </c>
      <c r="B3" s="13" t="s">
        <v>83</v>
      </c>
      <c r="C3" s="13" t="s">
        <v>84</v>
      </c>
      <c r="D3" s="37" t="str">
        <f t="shared" ref="D3:D4" si="0">LEFT(A3,FIND(" ",A3)-1)</f>
        <v>Ravi</v>
      </c>
      <c r="E3" s="37" t="str">
        <f t="shared" ref="E3:E4" si="1">RIGHT(A3,FIND(" ",A3))</f>
        <v>Patel</v>
      </c>
      <c r="F3" s="37" t="str">
        <f t="shared" ref="F3:F4" si="2">LOWER(_xlfn.CONCAT(D3,".",E3,"@airport.com"))</f>
        <v>ravi.patel@airport.com</v>
      </c>
      <c r="G3" s="37" t="str">
        <f t="shared" ref="G3:G4" si="3">LEFT(B3,1)</f>
        <v>N</v>
      </c>
      <c r="H3" s="37" t="str">
        <f t="shared" ref="H3:H4" si="4">_xlfn.CONCAT(UPPER(LEFT(C3,3)),"-",B3)</f>
        <v>SIN-N654321</v>
      </c>
    </row>
    <row r="4" spans="1:8" ht="30.15" customHeight="1" x14ac:dyDescent="0.3">
      <c r="A4" s="10" t="s">
        <v>85</v>
      </c>
      <c r="B4" s="10" t="s">
        <v>86</v>
      </c>
      <c r="C4" s="10" t="s">
        <v>87</v>
      </c>
      <c r="D4" s="37" t="str">
        <f t="shared" si="0"/>
        <v>Neha</v>
      </c>
      <c r="E4" s="37" t="str">
        <f t="shared" si="1"/>
        <v>Joshi</v>
      </c>
      <c r="F4" s="37" t="str">
        <f t="shared" si="2"/>
        <v>neha.joshi@airport.com</v>
      </c>
      <c r="G4" s="37" t="str">
        <f t="shared" si="3"/>
        <v>P</v>
      </c>
      <c r="H4" s="37" t="str">
        <f t="shared" si="4"/>
        <v>LON-P987654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CC7A2-FB9B-4B76-9D4C-CA8A7602515E}">
  <dimension ref="A1:F5"/>
  <sheetViews>
    <sheetView workbookViewId="0">
      <selection sqref="A1:F1"/>
    </sheetView>
  </sheetViews>
  <sheetFormatPr defaultRowHeight="14.4" x14ac:dyDescent="0.3"/>
  <cols>
    <col min="1" max="1" width="9.44140625" customWidth="1"/>
    <col min="2" max="2" width="6.77734375" customWidth="1"/>
    <col min="3" max="3" width="10.77734375" customWidth="1"/>
    <col min="4" max="4" width="11.88671875" customWidth="1"/>
    <col min="5" max="5" width="12.88671875" customWidth="1"/>
    <col min="6" max="6" width="12.5546875" customWidth="1"/>
  </cols>
  <sheetData>
    <row r="1" spans="1:6" ht="15" x14ac:dyDescent="0.3">
      <c r="A1" s="48" t="s">
        <v>93</v>
      </c>
      <c r="B1" s="48" t="s">
        <v>94</v>
      </c>
      <c r="C1" s="48" t="s">
        <v>95</v>
      </c>
      <c r="D1" s="49" t="s">
        <v>100</v>
      </c>
      <c r="E1" s="50" t="s">
        <v>101</v>
      </c>
      <c r="F1" s="49" t="s">
        <v>102</v>
      </c>
    </row>
    <row r="2" spans="1:6" ht="15" x14ac:dyDescent="0.3">
      <c r="A2" s="33" t="s">
        <v>96</v>
      </c>
      <c r="B2" s="33">
        <v>450</v>
      </c>
      <c r="C2" s="33">
        <v>8</v>
      </c>
      <c r="D2" s="38">
        <f>B2/C2</f>
        <v>56.25</v>
      </c>
      <c r="E2" s="34" t="str">
        <f>IF(D2&gt;=60,"Excellent",IF(D2&gt;=40,"Good","Needs Practice"))</f>
        <v>Good</v>
      </c>
      <c r="F2" s="34" t="str">
        <f>UPPER(LEFT(A2,3))</f>
        <v>VIR</v>
      </c>
    </row>
    <row r="3" spans="1:6" ht="15" x14ac:dyDescent="0.3">
      <c r="A3" s="36" t="s">
        <v>97</v>
      </c>
      <c r="B3" s="36">
        <v>320</v>
      </c>
      <c r="C3" s="36">
        <v>7</v>
      </c>
      <c r="D3" s="38">
        <f t="shared" ref="D3:D5" si="0">B3/C3</f>
        <v>45.714285714285715</v>
      </c>
      <c r="E3" s="34" t="str">
        <f t="shared" ref="E3:E5" si="1">IF(D3&gt;=60,"Excellent",IF(D3&gt;=40,"Good","Needs Practice"))</f>
        <v>Good</v>
      </c>
      <c r="F3" s="34" t="str">
        <f t="shared" ref="F3:F4" si="2">UPPER(LEFT(A3,3))</f>
        <v>ROH</v>
      </c>
    </row>
    <row r="4" spans="1:6" ht="15" x14ac:dyDescent="0.3">
      <c r="A4" s="33" t="s">
        <v>98</v>
      </c>
      <c r="B4" s="33">
        <v>520</v>
      </c>
      <c r="C4" s="33">
        <v>9</v>
      </c>
      <c r="D4" s="38">
        <f t="shared" si="0"/>
        <v>57.777777777777779</v>
      </c>
      <c r="E4" s="34" t="str">
        <f t="shared" si="1"/>
        <v>Good</v>
      </c>
      <c r="F4" s="34" t="str">
        <f t="shared" si="2"/>
        <v>GIL</v>
      </c>
    </row>
    <row r="5" spans="1:6" ht="15" x14ac:dyDescent="0.3">
      <c r="A5" s="36" t="s">
        <v>99</v>
      </c>
      <c r="B5" s="36">
        <v>280</v>
      </c>
      <c r="C5" s="36">
        <v>6</v>
      </c>
      <c r="D5" s="38">
        <f t="shared" si="0"/>
        <v>46.666666666666664</v>
      </c>
      <c r="E5" s="34" t="str">
        <f t="shared" si="1"/>
        <v>Good</v>
      </c>
      <c r="F5" s="34" t="str">
        <f>UPPER(LEFT(A5,3))</f>
        <v>SKY</v>
      </c>
    </row>
  </sheetData>
  <conditionalFormatting sqref="B2:B5">
    <cfRule type="top10" dxfId="4" priority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682B-E4BA-4BDD-A73E-5CF7294FF814}">
  <dimension ref="A1:H5"/>
  <sheetViews>
    <sheetView workbookViewId="0">
      <selection sqref="A1:G1"/>
    </sheetView>
  </sheetViews>
  <sheetFormatPr defaultRowHeight="14.4" x14ac:dyDescent="0.3"/>
  <cols>
    <col min="1" max="1" width="11.6640625" customWidth="1"/>
    <col min="2" max="2" width="10.44140625" customWidth="1"/>
    <col min="3" max="3" width="12.77734375" customWidth="1"/>
    <col min="4" max="4" width="12.44140625" customWidth="1"/>
    <col min="5" max="5" width="17.21875" customWidth="1"/>
    <col min="6" max="6" width="21.33203125" customWidth="1"/>
    <col min="7" max="7" width="11.88671875" customWidth="1"/>
  </cols>
  <sheetData>
    <row r="1" spans="1:8" ht="15" x14ac:dyDescent="0.3">
      <c r="A1" s="28" t="s">
        <v>103</v>
      </c>
      <c r="B1" s="28" t="s">
        <v>25</v>
      </c>
      <c r="C1" s="28" t="s">
        <v>104</v>
      </c>
      <c r="D1" s="28" t="s">
        <v>105</v>
      </c>
      <c r="E1" s="51" t="s">
        <v>41</v>
      </c>
      <c r="F1" s="51" t="s">
        <v>109</v>
      </c>
      <c r="G1" s="51" t="s">
        <v>110</v>
      </c>
    </row>
    <row r="2" spans="1:8" ht="15" x14ac:dyDescent="0.3">
      <c r="A2" s="23" t="s">
        <v>7</v>
      </c>
      <c r="B2" s="23">
        <v>22</v>
      </c>
      <c r="C2" s="23" t="s">
        <v>106</v>
      </c>
      <c r="D2" s="23">
        <v>2500</v>
      </c>
      <c r="E2" s="22" t="str">
        <f>IF(B2&lt;60,"Adult","Senior")</f>
        <v>Adult</v>
      </c>
      <c r="F2" s="22" t="str">
        <f>_xlfn.CONCAT(UPPER(LEFT(C2,2)),"-",UPPER(A2))</f>
        <v>GO-AMIT</v>
      </c>
      <c r="G2" s="22" t="str">
        <f>PROPER(A2)</f>
        <v>Amit</v>
      </c>
      <c r="H2" s="29"/>
    </row>
    <row r="3" spans="1:8" ht="15" x14ac:dyDescent="0.3">
      <c r="A3" s="30" t="s">
        <v>15</v>
      </c>
      <c r="B3" s="30">
        <v>45</v>
      </c>
      <c r="C3" s="30" t="s">
        <v>107</v>
      </c>
      <c r="D3" s="30">
        <v>1800</v>
      </c>
      <c r="E3" s="22" t="str">
        <f t="shared" ref="E3:E5" si="0">IF(B3&lt;60,"Adult","Senior")</f>
        <v>Adult</v>
      </c>
      <c r="F3" s="22" t="str">
        <f t="shared" ref="F3:F5" si="1">_xlfn.CONCAT(UPPER(LEFT(C3,2)),"-",UPPER(A3))</f>
        <v>SI-RAVI</v>
      </c>
      <c r="G3" s="22" t="str">
        <f t="shared" ref="G3:G5" si="2">PROPER(A3)</f>
        <v>Ravi</v>
      </c>
      <c r="H3" s="29"/>
    </row>
    <row r="4" spans="1:8" ht="23.4" customHeight="1" x14ac:dyDescent="0.3">
      <c r="A4" s="23" t="s">
        <v>11</v>
      </c>
      <c r="B4" s="23">
        <v>31</v>
      </c>
      <c r="C4" s="23" t="s">
        <v>108</v>
      </c>
      <c r="D4" s="23">
        <v>4000</v>
      </c>
      <c r="E4" s="22" t="str">
        <f t="shared" si="0"/>
        <v>Adult</v>
      </c>
      <c r="F4" s="22" t="str">
        <f t="shared" si="1"/>
        <v>PL-NEHA</v>
      </c>
      <c r="G4" s="22" t="str">
        <f t="shared" si="2"/>
        <v>Neha</v>
      </c>
      <c r="H4" s="29"/>
    </row>
    <row r="5" spans="1:8" ht="15" x14ac:dyDescent="0.3">
      <c r="A5" s="30" t="s">
        <v>18</v>
      </c>
      <c r="B5" s="30">
        <v>26</v>
      </c>
      <c r="C5" s="30" t="s">
        <v>106</v>
      </c>
      <c r="D5" s="30">
        <v>2500</v>
      </c>
      <c r="E5" s="22" t="str">
        <f t="shared" si="0"/>
        <v>Adult</v>
      </c>
      <c r="F5" s="22" t="str">
        <f t="shared" si="1"/>
        <v>GO-PRIYA</v>
      </c>
      <c r="G5" s="22" t="str">
        <f t="shared" si="2"/>
        <v>Priya</v>
      </c>
      <c r="H5" s="29"/>
    </row>
  </sheetData>
  <conditionalFormatting sqref="A2:D5">
    <cfRule type="expression" dxfId="3" priority="1">
      <formula>$C2="Platinum"</formula>
    </cfRule>
    <cfRule type="expression" dxfId="2" priority="3">
      <formula>$C$2="Platinum"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6712-B7EF-4645-BC9D-A4573DC46C45}">
  <dimension ref="A1:G5"/>
  <sheetViews>
    <sheetView workbookViewId="0">
      <selection sqref="A1:G1"/>
    </sheetView>
  </sheetViews>
  <sheetFormatPr defaultRowHeight="14.4" x14ac:dyDescent="0.3"/>
  <cols>
    <col min="1" max="2" width="9.21875" customWidth="1"/>
    <col min="3" max="3" width="7.21875" customWidth="1"/>
    <col min="4" max="4" width="9.33203125" customWidth="1"/>
    <col min="5" max="5" width="13.5546875" customWidth="1"/>
    <col min="6" max="6" width="13.33203125" bestFit="1" customWidth="1"/>
    <col min="7" max="7" width="14.88671875" customWidth="1"/>
  </cols>
  <sheetData>
    <row r="1" spans="1:7" ht="33.6" x14ac:dyDescent="0.3">
      <c r="A1" s="52" t="s">
        <v>111</v>
      </c>
      <c r="B1" s="52" t="s">
        <v>112</v>
      </c>
      <c r="C1" s="52" t="s">
        <v>105</v>
      </c>
      <c r="D1" s="52" t="s">
        <v>113</v>
      </c>
      <c r="E1" s="52" t="s">
        <v>119</v>
      </c>
      <c r="F1" s="52" t="s">
        <v>120</v>
      </c>
      <c r="G1" s="53" t="s">
        <v>121</v>
      </c>
    </row>
    <row r="2" spans="1:7" ht="15" x14ac:dyDescent="0.3">
      <c r="A2" s="33" t="s">
        <v>7</v>
      </c>
      <c r="B2" s="33" t="s">
        <v>114</v>
      </c>
      <c r="C2" s="33">
        <v>5000</v>
      </c>
      <c r="D2" s="33" t="s">
        <v>115</v>
      </c>
      <c r="E2" s="34" t="str">
        <f>IF(D2="Paid","Active","Inactive")</f>
        <v>Active</v>
      </c>
      <c r="F2" s="34" t="str">
        <f>_xlfn.CONCAT(UPPER(LEFT(B2,2)),"-",UPPER(A2))</f>
        <v>EX-AMIT</v>
      </c>
      <c r="G2" s="34" t="str">
        <f>CONCATENATE(B2," - ",A2)</f>
        <v>Excel - Amit</v>
      </c>
    </row>
    <row r="3" spans="1:7" ht="15" x14ac:dyDescent="0.3">
      <c r="A3" s="36" t="s">
        <v>15</v>
      </c>
      <c r="B3" s="36" t="s">
        <v>116</v>
      </c>
      <c r="C3" s="36">
        <v>6000</v>
      </c>
      <c r="D3" s="36" t="s">
        <v>13</v>
      </c>
      <c r="E3" s="34" t="str">
        <f t="shared" ref="E3:E5" si="0">IF(D3="Paid","Active","Inactive")</f>
        <v>Inactive</v>
      </c>
      <c r="F3" s="34" t="str">
        <f t="shared" ref="F3:F5" si="1">_xlfn.CONCAT(UPPER(LEFT(B3,2)),"-",UPPER(A3))</f>
        <v>SQ-RAVI</v>
      </c>
      <c r="G3" s="34" t="str">
        <f t="shared" ref="G3:G5" si="2">CONCATENATE(B3," - ",A3)</f>
        <v>SQL - Ravi</v>
      </c>
    </row>
    <row r="4" spans="1:7" ht="16.8" customHeight="1" x14ac:dyDescent="0.3">
      <c r="A4" s="33" t="s">
        <v>18</v>
      </c>
      <c r="B4" s="33" t="s">
        <v>117</v>
      </c>
      <c r="C4" s="33">
        <v>7000</v>
      </c>
      <c r="D4" s="33" t="s">
        <v>115</v>
      </c>
      <c r="E4" s="34" t="str">
        <f t="shared" si="0"/>
        <v>Active</v>
      </c>
      <c r="F4" s="34" t="str">
        <f t="shared" si="1"/>
        <v>PO-PRIYA</v>
      </c>
      <c r="G4" s="34" t="str">
        <f t="shared" si="2"/>
        <v>Power BI - Priya</v>
      </c>
    </row>
    <row r="5" spans="1:7" ht="15" x14ac:dyDescent="0.3">
      <c r="A5" s="36" t="s">
        <v>11</v>
      </c>
      <c r="B5" s="36" t="s">
        <v>118</v>
      </c>
      <c r="C5" s="36">
        <v>8000</v>
      </c>
      <c r="D5" s="36" t="s">
        <v>13</v>
      </c>
      <c r="E5" s="34" t="str">
        <f t="shared" si="0"/>
        <v>Inactive</v>
      </c>
      <c r="F5" s="34" t="str">
        <f t="shared" si="1"/>
        <v>PY-NEHA</v>
      </c>
      <c r="G5" s="34" t="str">
        <f t="shared" si="2"/>
        <v>Python - Neha</v>
      </c>
    </row>
  </sheetData>
  <conditionalFormatting sqref="D2:D5">
    <cfRule type="containsText" dxfId="1" priority="1" operator="containsText" text="pending">
      <formula>NOT(ISERROR(SEARCH("pending",D2)))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A9AF-E6F4-4EAB-BCFA-DE2B34518A29}">
  <dimension ref="A1:G5"/>
  <sheetViews>
    <sheetView tabSelected="1" workbookViewId="0">
      <selection activeCell="G13" sqref="G13"/>
    </sheetView>
  </sheetViews>
  <sheetFormatPr defaultRowHeight="14.4" x14ac:dyDescent="0.3"/>
  <cols>
    <col min="1" max="1" width="12" customWidth="1"/>
    <col min="2" max="2" width="13.33203125" customWidth="1"/>
    <col min="3" max="3" width="12.44140625" customWidth="1"/>
    <col min="4" max="4" width="12.21875" customWidth="1"/>
    <col min="5" max="5" width="12.77734375" customWidth="1"/>
    <col min="6" max="6" width="14.5546875" customWidth="1"/>
    <col min="7" max="7" width="14.21875" customWidth="1"/>
  </cols>
  <sheetData>
    <row r="1" spans="1:7" ht="19.2" x14ac:dyDescent="0.3">
      <c r="A1" s="42" t="s">
        <v>122</v>
      </c>
      <c r="B1" s="42" t="s">
        <v>123</v>
      </c>
      <c r="C1" s="42" t="s">
        <v>124</v>
      </c>
      <c r="D1" s="54" t="s">
        <v>125</v>
      </c>
      <c r="E1" s="55" t="s">
        <v>128</v>
      </c>
      <c r="F1" s="55" t="s">
        <v>129</v>
      </c>
      <c r="G1" s="55" t="s">
        <v>75</v>
      </c>
    </row>
    <row r="2" spans="1:7" ht="19.2" x14ac:dyDescent="0.3">
      <c r="A2" s="39" t="s">
        <v>7</v>
      </c>
      <c r="B2" s="39">
        <v>2</v>
      </c>
      <c r="C2" s="39">
        <v>85</v>
      </c>
      <c r="D2" s="39" t="s">
        <v>126</v>
      </c>
      <c r="E2" s="40" t="str">
        <f>IF(AND(B2&gt;=1,D2="Yes"),"Selected","Rejected")</f>
        <v>Selected</v>
      </c>
      <c r="F2" s="40" t="str">
        <f>_xlfn.CONCAT(UPPER(LEFT(A2,2)),"-",TEXT(B2,"00"))</f>
        <v>AM-02</v>
      </c>
      <c r="G2" s="40" t="str">
        <f>UPPER(D2)</f>
        <v>YES</v>
      </c>
    </row>
    <row r="3" spans="1:7" ht="19.2" x14ac:dyDescent="0.3">
      <c r="A3" s="41" t="s">
        <v>15</v>
      </c>
      <c r="B3" s="41">
        <v>0</v>
      </c>
      <c r="C3" s="41">
        <v>78</v>
      </c>
      <c r="D3" s="41" t="s">
        <v>127</v>
      </c>
      <c r="E3" s="40" t="str">
        <f t="shared" ref="E3:E5" si="0">IF(AND(B3&gt;=1,D3="Yes"),"Selected","Rejected")</f>
        <v>Rejected</v>
      </c>
      <c r="F3" s="40" t="str">
        <f t="shared" ref="F3:F5" si="1">_xlfn.CONCAT(UPPER(LEFT(A3,2)),"-",TEXT(B3,"00"))</f>
        <v>RA-00</v>
      </c>
      <c r="G3" s="40" t="str">
        <f t="shared" ref="G3:G5" si="2">UPPER(D3)</f>
        <v>NO</v>
      </c>
    </row>
    <row r="4" spans="1:7" ht="19.2" x14ac:dyDescent="0.3">
      <c r="A4" s="39" t="s">
        <v>18</v>
      </c>
      <c r="B4" s="39">
        <v>4</v>
      </c>
      <c r="C4" s="39">
        <v>91</v>
      </c>
      <c r="D4" s="39" t="s">
        <v>126</v>
      </c>
      <c r="E4" s="40" t="str">
        <f t="shared" si="0"/>
        <v>Selected</v>
      </c>
      <c r="F4" s="40" t="str">
        <f t="shared" si="1"/>
        <v>PR-04</v>
      </c>
      <c r="G4" s="40" t="str">
        <f t="shared" si="2"/>
        <v>YES</v>
      </c>
    </row>
    <row r="5" spans="1:7" ht="19.2" x14ac:dyDescent="0.3">
      <c r="A5" s="41" t="s">
        <v>11</v>
      </c>
      <c r="B5" s="41">
        <v>1</v>
      </c>
      <c r="C5" s="41">
        <v>68</v>
      </c>
      <c r="D5" s="41" t="s">
        <v>126</v>
      </c>
      <c r="E5" s="40" t="str">
        <f t="shared" si="0"/>
        <v>Selected</v>
      </c>
      <c r="F5" s="40" t="str">
        <f t="shared" si="1"/>
        <v>NE-01</v>
      </c>
      <c r="G5" s="40" t="str">
        <f t="shared" si="2"/>
        <v>YES</v>
      </c>
    </row>
  </sheetData>
  <conditionalFormatting sqref="C2:C5">
    <cfRule type="cellIs" dxfId="0" priority="1" operator="greaterThan">
      <formula>90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 01</vt:lpstr>
      <vt:lpstr>Task 02</vt:lpstr>
      <vt:lpstr>Task 03</vt:lpstr>
      <vt:lpstr>Task 04</vt:lpstr>
      <vt:lpstr>Task 05</vt:lpstr>
      <vt:lpstr>Task 06</vt:lpstr>
      <vt:lpstr>Task 07</vt:lpstr>
      <vt:lpstr>Task 08</vt:lpstr>
      <vt:lpstr>Task 09</vt:lpstr>
      <vt:lpstr>Task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Dhruv Patel</cp:lastModifiedBy>
  <dcterms:created xsi:type="dcterms:W3CDTF">2026-07-05T09:35:03Z</dcterms:created>
  <dcterms:modified xsi:type="dcterms:W3CDTF">2026-07-17T12:34:01Z</dcterms:modified>
</cp:coreProperties>
</file>